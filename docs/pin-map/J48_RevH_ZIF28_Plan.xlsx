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6CV12 Changes" sheetId="1" state="visible" r:id="rId3"/>
    <sheet name="ZIF-28 Map" sheetId="2" state="visible" r:id="rId4"/>
    <sheet name="U9 595 Outputs" sheetId="3" state="visible" r:id="rId5"/>
    <sheet name="Socket Power Modes" sheetId="4" state="visible" r:id="rId6"/>
    <sheet name="Rev H Parts" sheetId="5" state="visible" r:id="rId7"/>
    <sheet name="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<sst xmlns="http://schemas.openxmlformats.org/spreadsheetml/2006/main" count="571" uniqueCount="283">
  <si>
    <t xml:space="preserve">GAL26CV12 / 26V12 head-aligned in a ZIF-28: what each position needs (proposed Rev H)</t>
  </si>
  <si>
    <t xml:space="preserve">Shaded rows need hardware changes. ZIF numbers are for the proposed ZIF-28; Rev G ZIF 13–24 become ZIF 17–28.</t>
  </si>
  <si>
    <t xml:space="preserve">ZIF (Rev H)</t>
  </si>
  <si>
    <t xml:space="preserve">26CV12 needs</t>
  </si>
  <si>
    <t xml:space="preserve">Rev G has there</t>
  </si>
  <si>
    <t xml:space="preserve">Change</t>
  </si>
  <si>
    <t xml:space="preserve">2</t>
  </si>
  <si>
    <t xml:space="preserve">EDIT (VPP)</t>
  </si>
  <si>
    <t xml:space="preserve">VPP</t>
  </si>
  <si>
    <t xml:space="preserve">None</t>
  </si>
  <si>
    <t xml:space="preserve">3</t>
  </si>
  <si>
    <t xml:space="preserve">PV</t>
  </si>
  <si>
    <t xml:space="preserve">U1 PD0</t>
  </si>
  <si>
    <t xml:space="preserve">4, 5, 6</t>
  </si>
  <si>
    <t xml:space="preserve">RA0–RA2</t>
  </si>
  <si>
    <t xml:space="preserve">U2 Q0, Q3, Q2</t>
  </si>
  <si>
    <t xml:space="preserve">7</t>
  </si>
  <si>
    <t xml:space="preserve">VCC</t>
  </si>
  <si>
    <t xml:space="preserve">U2 Q1 (RA3 for 22V10)</t>
  </si>
  <si>
    <t xml:space="preserve">High-side P-FET from VCC_SKT, plus 100 Ω in series with U2 Q1</t>
  </si>
  <si>
    <t xml:space="preserve">8</t>
  </si>
  <si>
    <t xml:space="preserve">Low</t>
  </si>
  <si>
    <t xml:space="preserve">U1 PD2</t>
  </si>
  <si>
    <t xml:space="preserve">9, 10, 11</t>
  </si>
  <si>
    <t xml:space="preserve">RA3–RA5</t>
  </si>
  <si>
    <t xml:space="preserve">U1 PD3, PD4, PD5</t>
  </si>
  <si>
    <t xml:space="preserve">12</t>
  </si>
  <si>
    <t xml:space="preserve">SCLK</t>
  </si>
  <si>
    <t xml:space="preserve">Hard GND (24-pin GND)</t>
  </si>
  <si>
    <t xml:space="preserve">Ground-switch FET for 24-pin parts, plus a driver through 100 Ω</t>
  </si>
  <si>
    <t xml:space="preserve">13, 14</t>
  </si>
  <si>
    <t xml:space="preserve">SDIN, STB</t>
  </si>
  <si>
    <t xml:space="preserve">New position</t>
  </si>
  <si>
    <t xml:space="preserve">Drivers</t>
  </si>
  <si>
    <t xml:space="preserve">15</t>
  </si>
  <si>
    <t xml:space="preserve">SDOUT</t>
  </si>
  <si>
    <t xml:space="preserve">Must be an MCU input</t>
  </si>
  <si>
    <t xml:space="preserve">16–20</t>
  </si>
  <si>
    <t xml:space="preserve">New pull-down, then MCU lines</t>
  </si>
  <si>
    <t xml:space="preserve">None (firmware drives them low)</t>
  </si>
  <si>
    <t xml:space="preserve">21</t>
  </si>
  <si>
    <t xml:space="preserve">GND</t>
  </si>
  <si>
    <t xml:space="preserve">Pull-down only</t>
  </si>
  <si>
    <t xml:space="preserve">Ground-switch FET</t>
  </si>
  <si>
    <t xml:space="preserve">22–27</t>
  </si>
  <si>
    <t xml:space="preserve">Pull-downs, 595, MCU</t>
  </si>
  <si>
    <t xml:space="preserve">28</t>
  </si>
  <si>
    <t xml:space="preserve">VCC_SKT, always on</t>
  </si>
  <si>
    <t xml:space="preserve">High-side P-FET for 20/24-pin parts, plus a pull-down</t>
  </si>
  <si>
    <t xml:space="preserve">Source: 26CV12 programming pinout from the EMDP1 GAL28 plug table, gramlich.net/projects/extensible_programmer/emdp1/plugs/gal28/rev_a/ (cross-check against Afterburner's 26CV12 adapter files).</t>
  </si>
  <si>
    <t xml:space="preserve">ZIF-28 socket map, all devices head-aligned (proposed Rev H)</t>
  </si>
  <si>
    <t xml:space="preserve">Orange rows change in Rev H; green rows are new socket positions. Chip-pin columns are formulas from the ZIF number (head alignment).</t>
  </si>
  <si>
    <t xml:space="preserve">Side</t>
  </si>
  <si>
    <t xml:space="preserve">Rev G ZIF</t>
  </si>
  <si>
    <t xml:space="preserve">Rev G connection</t>
  </si>
  <si>
    <t xml:space="preserve">Rev H connection</t>
  </si>
  <si>
    <t xml:space="preserve">Changed?</t>
  </si>
  <si>
    <t xml:space="preserve">20-pin chip pin</t>
  </si>
  <si>
    <t xml:space="preserve">16V8</t>
  </si>
  <si>
    <t xml:space="preserve">18V10</t>
  </si>
  <si>
    <t xml:space="preserve">24-pin chip pin</t>
  </si>
  <si>
    <t xml:space="preserve">22V10 / 20XV10 / ATF750C</t>
  </si>
  <si>
    <t xml:space="preserve">20V8</t>
  </si>
  <si>
    <t xml:space="preserve">6001 / 6002</t>
  </si>
  <si>
    <t xml:space="preserve">JTAG ATF150x</t>
  </si>
  <si>
    <t xml:space="preserve">28-pin chip pin</t>
  </si>
  <si>
    <t xml:space="preserve">26CV12 / 26V12</t>
  </si>
  <si>
    <t xml:space="preserve">left (1–14)</t>
  </si>
  <si>
    <t xml:space="preserve">Pull-down R20 10k</t>
  </si>
  <si>
    <t xml:space="preserve">Pull-down R20 10k (unchanged)</t>
  </si>
  <si>
    <t xml:space="preserve">No</t>
  </si>
  <si>
    <t xml:space="preserve">-</t>
  </si>
  <si>
    <t xml:space="preserve">low</t>
  </si>
  <si>
    <t xml:space="preserve">VPP (unchanged)</t>
  </si>
  <si>
    <t xml:space="preserve">EDIT</t>
  </si>
  <si>
    <t xml:space="preserve">U1 PD0 (via R2)</t>
  </si>
  <si>
    <t xml:space="preserve">U1 PD0 (via R2) (unchanged)</t>
  </si>
  <si>
    <t xml:space="preserve">RA1</t>
  </si>
  <si>
    <t xml:space="preserve">RA3</t>
  </si>
  <si>
    <t xml:space="preserve">TDI</t>
  </si>
  <si>
    <t xml:space="preserve">U2 Q0</t>
  </si>
  <si>
    <t xml:space="preserve">U2 Q0 (unchanged)</t>
  </si>
  <si>
    <t xml:space="preserve">RA2</t>
  </si>
  <si>
    <t xml:space="preserve">RA4</t>
  </si>
  <si>
    <t xml:space="preserve">RA0</t>
  </si>
  <si>
    <t xml:space="preserve">U2 Q3</t>
  </si>
  <si>
    <t xml:space="preserve">U2 Q3 (unchanged)</t>
  </si>
  <si>
    <t xml:space="preserve">RA5</t>
  </si>
  <si>
    <t xml:space="preserve">U2 Q2</t>
  </si>
  <si>
    <t xml:space="preserve">U2 Q2 (unchanged)</t>
  </si>
  <si>
    <t xml:space="preserve">U2 Q1</t>
  </si>
  <si>
    <t xml:space="preserve">U2 Q1 via new 100 Ω + Q7 P-FET from VCC_SKT (VCC for 28-pin)</t>
  </si>
  <si>
    <t xml:space="preserve">Yes</t>
  </si>
  <si>
    <t xml:space="preserve">DIN</t>
  </si>
  <si>
    <t xml:space="preserve">U1 PD2 (via R3)</t>
  </si>
  <si>
    <t xml:space="preserve">U1 PD2 (via R3) (unchanged)</t>
  </si>
  <si>
    <t xml:space="preserve">STR</t>
  </si>
  <si>
    <t xml:space="preserve">U1 PD3 (via R4)</t>
  </si>
  <si>
    <t xml:space="preserve">U1 PD3 (via R4) (unchanged)</t>
  </si>
  <si>
    <t xml:space="preserve">DOUT</t>
  </si>
  <si>
    <t xml:space="preserve">U1 PD4 (via R5) + Q1 ground switch</t>
  </si>
  <si>
    <t xml:space="preserve">U1 PD4 (via R5) + Q1 ground switch (unchanged)</t>
  </si>
  <si>
    <t xml:space="preserve">U1 PD5 (via R6)</t>
  </si>
  <si>
    <t xml:space="preserve">U1 PD5 (via R6) (unchanged)</t>
  </si>
  <si>
    <t xml:space="preserve">(no chip pin)</t>
  </si>
  <si>
    <t xml:space="preserve">GND (hard)</t>
  </si>
  <si>
    <t xml:space="preserve">U9 Q0 via 100 Ω (SCLK) + Q4 ground switch (GND for 24-pin)</t>
  </si>
  <si>
    <t xml:space="preserve">— (new position)</t>
  </si>
  <si>
    <t xml:space="preserve">U9 Q1 (SDIN)</t>
  </si>
  <si>
    <t xml:space="preserve">SDIN</t>
  </si>
  <si>
    <t xml:space="preserve">U9 Q2 (STB)</t>
  </si>
  <si>
    <t xml:space="preserve">STB</t>
  </si>
  <si>
    <t xml:space="preserve">right (15–28)</t>
  </si>
  <si>
    <t xml:space="preserve">U1 PA3 via 100 Ω (SDOUT); PA3 was BOOST_EN</t>
  </si>
  <si>
    <t xml:space="preserve">Pull-down 10k (new)</t>
  </si>
  <si>
    <t xml:space="preserve">U1 PD6 (via R7)</t>
  </si>
  <si>
    <t xml:space="preserve">U1 PD6 (via R7) (unchanged)</t>
  </si>
  <si>
    <t xml:space="preserve">TMS</t>
  </si>
  <si>
    <t xml:space="preserve">U1 PD7 (via R8)</t>
  </si>
  <si>
    <t xml:space="preserve">U1 PD7 (via R8) (unchanged)</t>
  </si>
  <si>
    <t xml:space="preserve">U1 PC3 (via R1)</t>
  </si>
  <si>
    <t xml:space="preserve">U1 PC3 (via R1) (unchanged)</t>
  </si>
  <si>
    <t xml:space="preserve">U1 PF0 (via R9)</t>
  </si>
  <si>
    <t xml:space="preserve">U1 PF0 (via R9) (unchanged)</t>
  </si>
  <si>
    <t xml:space="preserve">Pull-down R21 10k</t>
  </si>
  <si>
    <t xml:space="preserve">Pull-down R21 10k + Q5 ground switch (GND for 28-pin)</t>
  </si>
  <si>
    <t xml:space="preserve">Pull-down R22 10k</t>
  </si>
  <si>
    <t xml:space="preserve">Pull-down R22 10k (unchanged)</t>
  </si>
  <si>
    <t xml:space="preserve">Pull-down R23 10k</t>
  </si>
  <si>
    <t xml:space="preserve">Pull-down R23 10k (unchanged)</t>
  </si>
  <si>
    <t xml:space="preserve">U2 Q5</t>
  </si>
  <si>
    <t xml:space="preserve">U2 Q5 (unchanged)</t>
  </si>
  <si>
    <t xml:space="preserve">U2 Q4</t>
  </si>
  <si>
    <t xml:space="preserve">U2 Q4 (unchanged)</t>
  </si>
  <si>
    <t xml:space="preserve">U1 PF1 (via R10)</t>
  </si>
  <si>
    <t xml:space="preserve">U1 PF1 (via R10) (unchanged)</t>
  </si>
  <si>
    <t xml:space="preserve">TDO</t>
  </si>
  <si>
    <t xml:space="preserve">U2 Q7</t>
  </si>
  <si>
    <t xml:space="preserve">U2 Q7 (unchanged)</t>
  </si>
  <si>
    <t xml:space="preserve">TCK</t>
  </si>
  <si>
    <t xml:space="preserve">VCC_SKT (always on)</t>
  </si>
  <si>
    <t xml:space="preserve">VCC_SKT via Q6 P-FET (VCC for 20/24-pin) + pull-down 10k</t>
  </si>
  <si>
    <t xml:space="preserve">Role names: EDIT = VPP pin in edit mode, PV = program/verify, RA0–RA5 = row address, SCLK = serial clock, DIN/SDIN = serial data in,</t>
  </si>
  <si>
    <t xml:space="preserve">STR/STB = strobe, DOUT/SDOUT = serial data out, '-' / 'low' = held low or undriven. Afterburner names are used for the 20/24-pin columns.</t>
  </si>
  <si>
    <t xml:space="preserve">Source: Afterburner rev 3.2b schematic, 'ZIF SOCKET PIN MAP' (ole00), as uploaded.</t>
  </si>
  <si>
    <t xml:space="preserve">Positions changed in Rev H</t>
  </si>
  <si>
    <t xml:space="preserve">New positions (no Rev G equivalent)</t>
  </si>
  <si>
    <t xml:space="preserve">U9: second 74HC595, chained from U2 Q7' (proposed Rev H)</t>
  </si>
  <si>
    <t xml:space="preserve">U9 shares SPI_SCK, SR_RCLK and SR_OE with U2; its SER (pin 14) comes from U2 Q7' (pin 9). Each update shifts 2 bytes, U9 first.</t>
  </si>
  <si>
    <t xml:space="preserve">Output</t>
  </si>
  <si>
    <t xml:space="preserve">U9 pin</t>
  </si>
  <si>
    <t xml:space="preserve">Net</t>
  </si>
  <si>
    <t xml:space="preserve">Drives</t>
  </si>
  <si>
    <t xml:space="preserve">Used for</t>
  </si>
  <si>
    <t xml:space="preserve">Active level</t>
  </si>
  <si>
    <t xml:space="preserve">State at reset</t>
  </si>
  <si>
    <t xml:space="preserve">Q0</t>
  </si>
  <si>
    <t xml:space="preserve">ZIF12_SCLK</t>
  </si>
  <si>
    <t xml:space="preserve">ZIF 12 via 100 Ω</t>
  </si>
  <si>
    <t xml:space="preserve">26CV12 SCLK; held low in 24-pin mode (Q4 grounds ZIF 12)</t>
  </si>
  <si>
    <t xml:space="preserve">High = 1</t>
  </si>
  <si>
    <t xml:space="preserve">Hi-Z (/OE high)</t>
  </si>
  <si>
    <t xml:space="preserve">Q1</t>
  </si>
  <si>
    <t xml:space="preserve">ZIF13_SDIN</t>
  </si>
  <si>
    <t xml:space="preserve">ZIF 13</t>
  </si>
  <si>
    <t xml:space="preserve">26CV12 SDIN</t>
  </si>
  <si>
    <t xml:space="preserve">Q2</t>
  </si>
  <si>
    <t xml:space="preserve">ZIF14_STB</t>
  </si>
  <si>
    <t xml:space="preserve">ZIF 14</t>
  </si>
  <si>
    <t xml:space="preserve">26CV12 STB (active low)</t>
  </si>
  <si>
    <t xml:space="preserve">Q3</t>
  </si>
  <si>
    <t xml:space="preserve">BOOST_EN</t>
  </si>
  <si>
    <t xml:space="preserve">U4 EN (was U1 PA3)</t>
  </si>
  <si>
    <t xml:space="preserve">Boost on; R36 pull-down keeps it off at reset</t>
  </si>
  <si>
    <t xml:space="preserve">High = on</t>
  </si>
  <si>
    <t xml:space="preserve">Off (R36)</t>
  </si>
  <si>
    <t xml:space="preserve">Q4</t>
  </si>
  <si>
    <t xml:space="preserve">GND12_EN</t>
  </si>
  <si>
    <t xml:space="preserve">Q4 gate (N-FET, ZIF 12 to GND)</t>
  </si>
  <si>
    <t xml:space="preserve">24-pin parts only</t>
  </si>
  <si>
    <t xml:space="preserve">High = grounded</t>
  </si>
  <si>
    <t xml:space="preserve">Off (gate pull-down)</t>
  </si>
  <si>
    <t xml:space="preserve">Q5</t>
  </si>
  <si>
    <t xml:space="preserve">GND21_EN</t>
  </si>
  <si>
    <t xml:space="preserve">Q5 gate (N-FET, ZIF 21 to GND)</t>
  </si>
  <si>
    <t xml:space="preserve">28-pin parts only</t>
  </si>
  <si>
    <t xml:space="preserve">Q6</t>
  </si>
  <si>
    <t xml:space="preserve">VCC28_EN</t>
  </si>
  <si>
    <t xml:space="preserve">Q6 gate (P-FET, VCC_SKT to ZIF 28)</t>
  </si>
  <si>
    <t xml:space="preserve">20- and 24-pin parts</t>
  </si>
  <si>
    <t xml:space="preserve">Low = VCC on</t>
  </si>
  <si>
    <t xml:space="preserve">Off (gate pull-up)</t>
  </si>
  <si>
    <t xml:space="preserve">Q7</t>
  </si>
  <si>
    <t xml:space="preserve">VCC7_EN</t>
  </si>
  <si>
    <t xml:space="preserve">Q7 gate (P-FET, VCC_SKT to ZIF 7)</t>
  </si>
  <si>
    <t xml:space="preserve">Q7'</t>
  </si>
  <si>
    <t xml:space="preserve">—</t>
  </si>
  <si>
    <t xml:space="preserve">Not connected</t>
  </si>
  <si>
    <t xml:space="preserve">End of chain</t>
  </si>
  <si>
    <t xml:space="preserve">Freed MCU pin</t>
  </si>
  <si>
    <t xml:space="preserve">U1 PA3 (pin 1): was BOOST_EN, becomes SDOUT input from ZIF 15 via 100 Ω.</t>
  </si>
  <si>
    <t xml:space="preserve">Note</t>
  </si>
  <si>
    <t xml:space="preserve">SCLK and SDIN through a 595 cost a few µs per bit; the 26CV12's ~10 ms per-row programming pulse dominates.</t>
  </si>
  <si>
    <t xml:space="preserve">Ground and VCC switch settings by device size (proposed Rev H)</t>
  </si>
  <si>
    <t xml:space="preserve">Firmware interlock: exactly one GND switch and one VCC switch on at a time, chosen by device size. Never Q6 with Q7, never Q4 with a 28-pin part.</t>
  </si>
  <si>
    <t xml:space="preserve">Device size</t>
  </si>
  <si>
    <t xml:space="preserve">Q1: ZIF 10 GND (595 U2 Q6)</t>
  </si>
  <si>
    <t xml:space="preserve">Q4: ZIF 12 GND (U9 Q4)</t>
  </si>
  <si>
    <t xml:space="preserve">Q5: ZIF 21 GND (U9 Q5)</t>
  </si>
  <si>
    <t xml:space="preserve">Q6: ZIF 28 VCC (U9 Q6)</t>
  </si>
  <si>
    <t xml:space="preserve">Q7: ZIF 7 VCC (U9 Q7)</t>
  </si>
  <si>
    <t xml:space="preserve">Notes</t>
  </si>
  <si>
    <t xml:space="preserve">GND switches on</t>
  </si>
  <si>
    <t xml:space="preserve">VCC switches on</t>
  </si>
  <si>
    <t xml:space="preserve">No device / reset</t>
  </si>
  <si>
    <t xml:space="preserve">Off</t>
  </si>
  <si>
    <t xml:space="preserve">All outputs Hi-Z; socket unpowered until firmware selects a size</t>
  </si>
  <si>
    <t xml:space="preserve">20-pin (16V8, 18V10)</t>
  </si>
  <si>
    <t xml:space="preserve">On</t>
  </si>
  <si>
    <t xml:space="preserve">Chip GND on ZIF 10, VCC on ZIF 28</t>
  </si>
  <si>
    <t xml:space="preserve">24-pin (22V10, 20V8, 6001/6002, ATF750C, JTAG adapter)</t>
  </si>
  <si>
    <t xml:space="preserve">Chip GND on ZIF 12, VCC on ZIF 28; U9 Q0 must be low</t>
  </si>
  <si>
    <t xml:space="preserve">28-pin (26CV12, 26V12)</t>
  </si>
  <si>
    <t xml:space="preserve">Chip GND on ZIF 21, VCC on ZIF 7; ZIF 28 held low by its pull-down; U2 Q1 set high</t>
  </si>
  <si>
    <t xml:space="preserve">Rev H parts added or changed (proposed)</t>
  </si>
  <si>
    <t xml:space="preserve">Reference designators continue from Rev G (last: Q3, R36, C18, U8, J4). Values are proposals to confirm.</t>
  </si>
  <si>
    <t xml:space="preserve">Ref</t>
  </si>
  <si>
    <t xml:space="preserve">Part / value</t>
  </si>
  <si>
    <t xml:space="preserve">Qty</t>
  </si>
  <si>
    <t xml:space="preserve">Purpose</t>
  </si>
  <si>
    <t xml:space="preserve">Add / change</t>
  </si>
  <si>
    <t xml:space="preserve">J1</t>
  </si>
  <si>
    <t xml:space="preserve">ZIF-28 socket, accepts 0.3" and 0.6" DIP</t>
  </si>
  <si>
    <t xml:space="preserve">Replaces the ZIF-24</t>
  </si>
  <si>
    <t xml:space="preserve">U9</t>
  </si>
  <si>
    <t xml:space="preserve">74HC595</t>
  </si>
  <si>
    <t xml:space="preserve">Second shift register, chained from U2 Q7'</t>
  </si>
  <si>
    <t xml:space="preserve">Add</t>
  </si>
  <si>
    <t xml:space="preserve">C19</t>
  </si>
  <si>
    <t xml:space="preserve">100n</t>
  </si>
  <si>
    <t xml:space="preserve">U9 decoupling, VSYS</t>
  </si>
  <si>
    <t xml:space="preserve">Q4, Q5</t>
  </si>
  <si>
    <t xml:space="preserve">AO3400 N-FET (logic level)</t>
  </si>
  <si>
    <t xml:space="preserve">Ground switches on ZIF 12 and ZIF 21</t>
  </si>
  <si>
    <t xml:space="preserve">Q6, Q7</t>
  </si>
  <si>
    <t xml:space="preserve">AO3401 P-FET (logic level)</t>
  </si>
  <si>
    <t xml:space="preserve">VCC switches on ZIF 28 and ZIF 7</t>
  </si>
  <si>
    <t xml:space="preserve">R37, R38</t>
  </si>
  <si>
    <t xml:space="preserve">100 Ω</t>
  </si>
  <si>
    <t xml:space="preserve">Gate resistors for Q4, Q5</t>
  </si>
  <si>
    <t xml:space="preserve">R39, R40</t>
  </si>
  <si>
    <t xml:space="preserve">100k</t>
  </si>
  <si>
    <t xml:space="preserve">Gate pull-downs for Q4, Q5 (off at reset)</t>
  </si>
  <si>
    <t xml:space="preserve">R41, R42</t>
  </si>
  <si>
    <t xml:space="preserve">Gate pull-ups to VCC_SKT for Q6, Q7 (off at reset)</t>
  </si>
  <si>
    <t xml:space="preserve">R43</t>
  </si>
  <si>
    <t xml:space="preserve">U2 Q1 to ZIF 7 series resistor</t>
  </si>
  <si>
    <t xml:space="preserve">R44</t>
  </si>
  <si>
    <t xml:space="preserve">U9 Q0 to ZIF 12 series resistor</t>
  </si>
  <si>
    <t xml:space="preserve">R45</t>
  </si>
  <si>
    <t xml:space="preserve">U1 PA3 to ZIF 15 series resistor</t>
  </si>
  <si>
    <t xml:space="preserve">R46, R47</t>
  </si>
  <si>
    <t xml:space="preserve">10k</t>
  </si>
  <si>
    <t xml:space="preserve">Pull-downs on ZIF 16 and ZIF 28</t>
  </si>
  <si>
    <t xml:space="preserve">Total parts</t>
  </si>
  <si>
    <t xml:space="preserve">Resistors added</t>
  </si>
  <si>
    <t xml:space="preserve">Behaviour changes and open items (proposed Rev H)</t>
  </si>
  <si>
    <t xml:space="preserve">Socket powers up dead</t>
  </si>
  <si>
    <t xml:space="preserve">With U9's outputs off at reset, every VCC and GND switch is off. Firmware selects the device size before the chip gets power. 24-pin parts now need firmware to ground ZIF 12 (it was hard ground in Rev G).</t>
  </si>
  <si>
    <t xml:space="preserve">Interlocks</t>
  </si>
  <si>
    <t xml:space="preserve">Never turn on the ZIF 7 and ZIF 28 supplies together, and never ground ZIF 12 with a 28-pin part in the socket: those contacts carry signals for the other sizes.</t>
  </si>
  <si>
    <t xml:space="preserve">Existing devices</t>
  </si>
  <si>
    <t xml:space="preserve">Rev G ZIF 13–24 wiring keeps its nets and moves to ZIF 17–28, so 20- and 24-pin parts and the JTAG adapter see the same signals as before.</t>
  </si>
  <si>
    <t xml:space="preserve">Firmware</t>
  </si>
  <si>
    <t xml:space="preserve">The 26CV12 algorithm is close to the 22V10's with a different fuse-map geometry. Afterburner supports GAL26CV12B and GAL26V12C through an adapter, so this is a port.</t>
  </si>
  <si>
    <t xml:space="preserve">Verify pinout</t>
  </si>
  <si>
    <t xml:space="preserve">Cross-check the 26CV12 programming pinout against Afterburner's 26CV12 adapter files before committing (VCC pin 7, GND pin 21).</t>
  </si>
  <si>
    <t xml:space="preserve">Socket width</t>
  </si>
  <si>
    <t xml:space="preserve">The 26CV12 DIP is the 0.3" skinny package: choose a ZIF-28 that takes both 0.3" and 0.6" parts.</t>
  </si>
  <si>
    <t xml:space="preserve">Speed</t>
  </si>
  <si>
    <t xml:space="preserve">SCLK and SDIN through U9 cost a few µs per bit, small next to the ~10 ms per-row programming pulse. Rev F already clocks the 18V10 through a 595 (ZIF 6).</t>
  </si>
  <si>
    <t xml:space="preserve">Sources</t>
  </si>
  <si>
    <t xml:space="preserve">Source: Afterburner rev 3.2b schematic, 'ZIF SOCKET PIN MAP' (ole00), as uploaded. Source: 26CV12 programming pinout from the EMDP1 GAL28 plug table, gramlich.net/projects/extensible_programmer/emdp1/plugs/gal28/rev_a/ (cross-check against Afterburner's 26CV12 adapter files). Afterburner supported-chip list: github.com/ole00/afterburner.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</si>
</sst>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CE8D5"/>
        <bgColor rgb="FFE3F0E0"/>
      </patternFill>
    </fill>
    <fill>
      <patternFill patternType="solid">
        <fgColor rgb="FFE3F0E0"/>
        <bgColor rgb="FFFCE8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CE8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6</v>
      </c>
      <c r="B4" s="4" t="s">
        <v>7</v>
      </c>
      <c r="C4" s="4" t="s">
        <v>8</v>
      </c>
      <c r="D4" s="4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9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15</v>
      </c>
      <c r="D6" s="4" t="s">
        <v>9</v>
      </c>
    </row>
    <row r="7" customFormat="false" ht="15" hidden="false" customHeight="false" outlineLevel="0" collapsed="false">
      <c r="A7" s="5" t="s">
        <v>16</v>
      </c>
      <c r="B7" s="5" t="s">
        <v>17</v>
      </c>
      <c r="C7" s="5" t="s">
        <v>18</v>
      </c>
      <c r="D7" s="5" t="s">
        <v>19</v>
      </c>
    </row>
    <row r="8" customFormat="false" ht="15" hidden="false" customHeight="false" outlineLevel="0" collapsed="false">
      <c r="A8" s="4" t="s">
        <v>20</v>
      </c>
      <c r="B8" s="4" t="s">
        <v>21</v>
      </c>
      <c r="C8" s="4" t="s">
        <v>22</v>
      </c>
      <c r="D8" s="4" t="s">
        <v>9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25</v>
      </c>
      <c r="D9" s="4" t="s">
        <v>9</v>
      </c>
    </row>
    <row r="10" customFormat="false" ht="15" hidden="false" customHeight="false" outlineLevel="0" collapsed="false">
      <c r="A10" s="5" t="s">
        <v>26</v>
      </c>
      <c r="B10" s="5" t="s">
        <v>27</v>
      </c>
      <c r="C10" s="5" t="s">
        <v>28</v>
      </c>
      <c r="D10" s="5" t="s">
        <v>29</v>
      </c>
    </row>
    <row r="11" customFormat="false" ht="15" hidden="false" customHeight="false" outlineLevel="0" collapsed="false">
      <c r="A11" s="5" t="s">
        <v>30</v>
      </c>
      <c r="B11" s="5" t="s">
        <v>31</v>
      </c>
      <c r="C11" s="5" t="s">
        <v>32</v>
      </c>
      <c r="D11" s="5" t="s">
        <v>33</v>
      </c>
    </row>
    <row r="12" customFormat="false" ht="15" hidden="false" customHeight="false" outlineLevel="0" collapsed="false">
      <c r="A12" s="5" t="s">
        <v>34</v>
      </c>
      <c r="B12" s="5" t="s">
        <v>35</v>
      </c>
      <c r="C12" s="5" t="s">
        <v>32</v>
      </c>
      <c r="D12" s="5" t="s">
        <v>36</v>
      </c>
    </row>
    <row r="13" customFormat="false" ht="15" hidden="false" customHeight="false" outlineLevel="0" collapsed="false">
      <c r="A13" s="4" t="s">
        <v>37</v>
      </c>
      <c r="B13" s="4" t="s">
        <v>21</v>
      </c>
      <c r="C13" s="4" t="s">
        <v>38</v>
      </c>
      <c r="D13" s="4" t="s">
        <v>39</v>
      </c>
    </row>
    <row r="14" customFormat="false" ht="15" hidden="false" customHeight="false" outlineLevel="0" collapsed="false">
      <c r="A14" s="5" t="s">
        <v>40</v>
      </c>
      <c r="B14" s="5" t="s">
        <v>41</v>
      </c>
      <c r="C14" s="5" t="s">
        <v>42</v>
      </c>
      <c r="D14" s="5" t="s">
        <v>43</v>
      </c>
    </row>
    <row r="15" customFormat="false" ht="15" hidden="false" customHeight="false" outlineLevel="0" collapsed="false">
      <c r="A15" s="4" t="s">
        <v>44</v>
      </c>
      <c r="B15" s="4" t="s">
        <v>21</v>
      </c>
      <c r="C15" s="4" t="s">
        <v>45</v>
      </c>
      <c r="D15" s="4" t="s">
        <v>9</v>
      </c>
    </row>
    <row r="16" customFormat="false" ht="15" hidden="false" customHeight="false" outlineLevel="0" collapsed="false">
      <c r="A16" s="5" t="s">
        <v>46</v>
      </c>
      <c r="B16" s="5" t="s">
        <v>21</v>
      </c>
      <c r="C16" s="5" t="s">
        <v>47</v>
      </c>
      <c r="D16" s="5" t="s">
        <v>48</v>
      </c>
    </row>
    <row r="18" customFormat="false" ht="15" hidden="false" customHeight="false" outlineLevel="0" collapsed="false">
      <c r="A18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7" min="6" style="0" width="10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3" customFormat="false" ht="30" hidden="false" customHeight="true" outlineLevel="0" collapsed="false">
      <c r="A3" s="3" t="s">
        <v>2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s">
        <v>65</v>
      </c>
      <c r="P3" s="3" t="s">
        <v>66</v>
      </c>
    </row>
    <row r="4" customFormat="false" ht="15" hidden="false" customHeight="false" outlineLevel="0" collapsed="false">
      <c r="A4" s="6" t="n">
        <v>1</v>
      </c>
      <c r="B4" s="4" t="s">
        <v>67</v>
      </c>
      <c r="C4" s="6" t="n">
        <f aca="false">IF(A4&lt;=12,A4,IF(A4&gt;=17,A4-4,"new"))</f>
        <v>1</v>
      </c>
      <c r="D4" s="4" t="s">
        <v>68</v>
      </c>
      <c r="E4" s="4" t="s">
        <v>69</v>
      </c>
      <c r="F4" s="6" t="s">
        <v>70</v>
      </c>
      <c r="G4" s="6" t="n">
        <f aca="false">IF(A4&lt;=10,A4,IF(A4&gt;=19,A4-8,"—"))</f>
        <v>1</v>
      </c>
      <c r="H4" s="4" t="s">
        <v>71</v>
      </c>
      <c r="I4" s="4" t="s">
        <v>71</v>
      </c>
      <c r="J4" s="6" t="n">
        <f aca="false">IF(A4&lt;=12,A4,IF(A4&gt;=17,A4-4,"—"))</f>
        <v>1</v>
      </c>
      <c r="K4" s="4" t="s">
        <v>71</v>
      </c>
      <c r="L4" s="4" t="s">
        <v>71</v>
      </c>
      <c r="M4" s="4" t="s">
        <v>71</v>
      </c>
      <c r="N4" s="4" t="s">
        <v>71</v>
      </c>
      <c r="O4" s="6" t="n">
        <f aca="false">A4</f>
        <v>1</v>
      </c>
      <c r="P4" s="4" t="s">
        <v>72</v>
      </c>
    </row>
    <row r="5" customFormat="false" ht="15" hidden="false" customHeight="false" outlineLevel="0" collapsed="false">
      <c r="A5" s="6" t="n">
        <v>2</v>
      </c>
      <c r="B5" s="4" t="s">
        <v>67</v>
      </c>
      <c r="C5" s="6" t="n">
        <f aca="false">IF(A5&lt;=12,A5,IF(A5&gt;=17,A5-4,"new"))</f>
        <v>2</v>
      </c>
      <c r="D5" s="4" t="s">
        <v>8</v>
      </c>
      <c r="E5" s="4" t="s">
        <v>73</v>
      </c>
      <c r="F5" s="6" t="s">
        <v>70</v>
      </c>
      <c r="G5" s="6" t="n">
        <f aca="false">IF(A5&lt;=10,A5,IF(A5&gt;=19,A5-8,"—"))</f>
        <v>2</v>
      </c>
      <c r="H5" s="4" t="s">
        <v>74</v>
      </c>
      <c r="I5" s="4" t="s">
        <v>74</v>
      </c>
      <c r="J5" s="6" t="n">
        <f aca="false">IF(A5&lt;=12,A5,IF(A5&gt;=17,A5-4,"—"))</f>
        <v>2</v>
      </c>
      <c r="K5" s="4" t="s">
        <v>74</v>
      </c>
      <c r="L5" s="4" t="s">
        <v>74</v>
      </c>
      <c r="M5" s="4" t="s">
        <v>74</v>
      </c>
      <c r="N5" s="4" t="s">
        <v>74</v>
      </c>
      <c r="O5" s="6" t="n">
        <f aca="false">A5</f>
        <v>2</v>
      </c>
      <c r="P5" s="4" t="s">
        <v>74</v>
      </c>
    </row>
    <row r="6" customFormat="false" ht="15" hidden="false" customHeight="false" outlineLevel="0" collapsed="false">
      <c r="A6" s="6" t="n">
        <v>3</v>
      </c>
      <c r="B6" s="4" t="s">
        <v>67</v>
      </c>
      <c r="C6" s="6" t="n">
        <f aca="false">IF(A6&lt;=12,A6,IF(A6&gt;=17,A6-4,"new"))</f>
        <v>3</v>
      </c>
      <c r="D6" s="4" t="s">
        <v>75</v>
      </c>
      <c r="E6" s="4" t="s">
        <v>76</v>
      </c>
      <c r="F6" s="6" t="s">
        <v>70</v>
      </c>
      <c r="G6" s="6" t="n">
        <f aca="false">IF(A6&lt;=10,A6,IF(A6&gt;=19,A6-8,"—"))</f>
        <v>3</v>
      </c>
      <c r="H6" s="4" t="s">
        <v>77</v>
      </c>
      <c r="I6" s="4" t="s">
        <v>78</v>
      </c>
      <c r="J6" s="6" t="n">
        <f aca="false">IF(A6&lt;=12,A6,IF(A6&gt;=17,A6-4,"—"))</f>
        <v>3</v>
      </c>
      <c r="K6" s="4" t="s">
        <v>11</v>
      </c>
      <c r="L6" s="4" t="s">
        <v>77</v>
      </c>
      <c r="M6" s="4" t="s">
        <v>71</v>
      </c>
      <c r="N6" s="4" t="s">
        <v>79</v>
      </c>
      <c r="O6" s="6" t="n">
        <f aca="false">A6</f>
        <v>3</v>
      </c>
      <c r="P6" s="4" t="s">
        <v>11</v>
      </c>
    </row>
    <row r="7" customFormat="false" ht="15" hidden="false" customHeight="false" outlineLevel="0" collapsed="false">
      <c r="A7" s="6" t="n">
        <v>4</v>
      </c>
      <c r="B7" s="4" t="s">
        <v>67</v>
      </c>
      <c r="C7" s="6" t="n">
        <f aca="false">IF(A7&lt;=12,A7,IF(A7&gt;=17,A7-4,"new"))</f>
        <v>4</v>
      </c>
      <c r="D7" s="4" t="s">
        <v>80</v>
      </c>
      <c r="E7" s="4" t="s">
        <v>81</v>
      </c>
      <c r="F7" s="6" t="s">
        <v>70</v>
      </c>
      <c r="G7" s="6" t="n">
        <f aca="false">IF(A7&lt;=10,A7,IF(A7&gt;=19,A7-8,"—"))</f>
        <v>4</v>
      </c>
      <c r="H7" s="4" t="s">
        <v>82</v>
      </c>
      <c r="I7" s="4" t="s">
        <v>83</v>
      </c>
      <c r="J7" s="6" t="n">
        <f aca="false">IF(A7&lt;=12,A7,IF(A7&gt;=17,A7-4,"—"))</f>
        <v>4</v>
      </c>
      <c r="K7" s="4" t="s">
        <v>84</v>
      </c>
      <c r="L7" s="4" t="s">
        <v>82</v>
      </c>
      <c r="M7" s="4" t="s">
        <v>84</v>
      </c>
      <c r="N7" s="4" t="s">
        <v>71</v>
      </c>
      <c r="O7" s="6" t="n">
        <f aca="false">A7</f>
        <v>4</v>
      </c>
      <c r="P7" s="4" t="s">
        <v>84</v>
      </c>
    </row>
    <row r="8" customFormat="false" ht="15" hidden="false" customHeight="false" outlineLevel="0" collapsed="false">
      <c r="A8" s="6" t="n">
        <v>5</v>
      </c>
      <c r="B8" s="4" t="s">
        <v>67</v>
      </c>
      <c r="C8" s="6" t="n">
        <f aca="false">IF(A8&lt;=12,A8,IF(A8&gt;=17,A8-4,"new"))</f>
        <v>5</v>
      </c>
      <c r="D8" s="4" t="s">
        <v>85</v>
      </c>
      <c r="E8" s="4" t="s">
        <v>86</v>
      </c>
      <c r="F8" s="6" t="s">
        <v>70</v>
      </c>
      <c r="G8" s="6" t="n">
        <f aca="false">IF(A8&lt;=10,A8,IF(A8&gt;=19,A8-8,"—"))</f>
        <v>5</v>
      </c>
      <c r="H8" s="4" t="s">
        <v>78</v>
      </c>
      <c r="I8" s="4" t="s">
        <v>87</v>
      </c>
      <c r="J8" s="6" t="n">
        <f aca="false">IF(A8&lt;=12,A8,IF(A8&gt;=17,A8-4,"—"))</f>
        <v>5</v>
      </c>
      <c r="K8" s="4" t="s">
        <v>77</v>
      </c>
      <c r="L8" s="4" t="s">
        <v>78</v>
      </c>
      <c r="M8" s="4" t="s">
        <v>77</v>
      </c>
      <c r="N8" s="4" t="s">
        <v>71</v>
      </c>
      <c r="O8" s="6" t="n">
        <f aca="false">A8</f>
        <v>5</v>
      </c>
      <c r="P8" s="4" t="s">
        <v>77</v>
      </c>
    </row>
    <row r="9" customFormat="false" ht="15" hidden="false" customHeight="false" outlineLevel="0" collapsed="false">
      <c r="A9" s="6" t="n">
        <v>6</v>
      </c>
      <c r="B9" s="4" t="s">
        <v>67</v>
      </c>
      <c r="C9" s="6" t="n">
        <f aca="false">IF(A9&lt;=12,A9,IF(A9&gt;=17,A9-4,"new"))</f>
        <v>6</v>
      </c>
      <c r="D9" s="4" t="s">
        <v>88</v>
      </c>
      <c r="E9" s="4" t="s">
        <v>89</v>
      </c>
      <c r="F9" s="6" t="s">
        <v>70</v>
      </c>
      <c r="G9" s="6" t="n">
        <f aca="false">IF(A9&lt;=10,A9,IF(A9&gt;=19,A9-8,"—"))</f>
        <v>6</v>
      </c>
      <c r="H9" s="4" t="s">
        <v>83</v>
      </c>
      <c r="I9" s="4" t="s">
        <v>27</v>
      </c>
      <c r="J9" s="6" t="n">
        <f aca="false">IF(A9&lt;=12,A9,IF(A9&gt;=17,A9-4,"—"))</f>
        <v>6</v>
      </c>
      <c r="K9" s="4" t="s">
        <v>82</v>
      </c>
      <c r="L9" s="4" t="s">
        <v>71</v>
      </c>
      <c r="M9" s="4" t="s">
        <v>82</v>
      </c>
      <c r="N9" s="4" t="s">
        <v>71</v>
      </c>
      <c r="O9" s="6" t="n">
        <f aca="false">A9</f>
        <v>6</v>
      </c>
      <c r="P9" s="4" t="s">
        <v>82</v>
      </c>
    </row>
    <row r="10" customFormat="false" ht="23.85" hidden="false" customHeight="false" outlineLevel="0" collapsed="false">
      <c r="A10" s="7" t="n">
        <v>7</v>
      </c>
      <c r="B10" s="5" t="s">
        <v>67</v>
      </c>
      <c r="C10" s="7" t="n">
        <f aca="false">IF(A10&lt;=12,A10,IF(A10&gt;=17,A10-4,"new"))</f>
        <v>7</v>
      </c>
      <c r="D10" s="5" t="s">
        <v>90</v>
      </c>
      <c r="E10" s="5" t="s">
        <v>91</v>
      </c>
      <c r="F10" s="7" t="s">
        <v>92</v>
      </c>
      <c r="G10" s="7" t="n">
        <f aca="false">IF(A10&lt;=10,A10,IF(A10&gt;=19,A10-8,"—"))</f>
        <v>7</v>
      </c>
      <c r="H10" s="5" t="s">
        <v>87</v>
      </c>
      <c r="I10" s="5" t="s">
        <v>93</v>
      </c>
      <c r="J10" s="7" t="n">
        <f aca="false">IF(A10&lt;=12,A10,IF(A10&gt;=17,A10-4,"—"))</f>
        <v>7</v>
      </c>
      <c r="K10" s="5" t="s">
        <v>78</v>
      </c>
      <c r="L10" s="5" t="s">
        <v>71</v>
      </c>
      <c r="M10" s="5" t="s">
        <v>78</v>
      </c>
      <c r="N10" s="5" t="s">
        <v>71</v>
      </c>
      <c r="O10" s="7" t="n">
        <f aca="false">A10</f>
        <v>7</v>
      </c>
      <c r="P10" s="5" t="s">
        <v>17</v>
      </c>
    </row>
    <row r="11" customFormat="false" ht="15" hidden="false" customHeight="false" outlineLevel="0" collapsed="false">
      <c r="A11" s="6" t="n">
        <v>8</v>
      </c>
      <c r="B11" s="4" t="s">
        <v>67</v>
      </c>
      <c r="C11" s="6" t="n">
        <f aca="false">IF(A11&lt;=12,A11,IF(A11&gt;=17,A11-4,"new"))</f>
        <v>8</v>
      </c>
      <c r="D11" s="4" t="s">
        <v>94</v>
      </c>
      <c r="E11" s="4" t="s">
        <v>95</v>
      </c>
      <c r="F11" s="6" t="s">
        <v>70</v>
      </c>
      <c r="G11" s="6" t="n">
        <f aca="false">IF(A11&lt;=10,A11,IF(A11&gt;=19,A11-8,"—"))</f>
        <v>8</v>
      </c>
      <c r="H11" s="4" t="s">
        <v>27</v>
      </c>
      <c r="I11" s="4" t="s">
        <v>96</v>
      </c>
      <c r="J11" s="6" t="n">
        <f aca="false">IF(A11&lt;=12,A11,IF(A11&gt;=17,A11-4,"—"))</f>
        <v>8</v>
      </c>
      <c r="K11" s="4" t="s">
        <v>83</v>
      </c>
      <c r="L11" s="4" t="s">
        <v>83</v>
      </c>
      <c r="M11" s="4" t="s">
        <v>83</v>
      </c>
      <c r="N11" s="4" t="s">
        <v>71</v>
      </c>
      <c r="O11" s="6" t="n">
        <f aca="false">A11</f>
        <v>8</v>
      </c>
      <c r="P11" s="4" t="s">
        <v>72</v>
      </c>
    </row>
    <row r="12" customFormat="false" ht="15" hidden="false" customHeight="false" outlineLevel="0" collapsed="false">
      <c r="A12" s="6" t="n">
        <v>9</v>
      </c>
      <c r="B12" s="4" t="s">
        <v>67</v>
      </c>
      <c r="C12" s="6" t="n">
        <f aca="false">IF(A12&lt;=12,A12,IF(A12&gt;=17,A12-4,"new"))</f>
        <v>9</v>
      </c>
      <c r="D12" s="4" t="s">
        <v>97</v>
      </c>
      <c r="E12" s="4" t="s">
        <v>98</v>
      </c>
      <c r="F12" s="6" t="s">
        <v>70</v>
      </c>
      <c r="G12" s="6" t="n">
        <f aca="false">IF(A12&lt;=10,A12,IF(A12&gt;=19,A12-8,"—"))</f>
        <v>9</v>
      </c>
      <c r="H12" s="4" t="s">
        <v>93</v>
      </c>
      <c r="I12" s="4" t="s">
        <v>99</v>
      </c>
      <c r="J12" s="6" t="n">
        <f aca="false">IF(A12&lt;=12,A12,IF(A12&gt;=17,A12-4,"—"))</f>
        <v>9</v>
      </c>
      <c r="K12" s="4" t="s">
        <v>87</v>
      </c>
      <c r="L12" s="4" t="s">
        <v>87</v>
      </c>
      <c r="M12" s="4" t="s">
        <v>87</v>
      </c>
      <c r="N12" s="4" t="s">
        <v>71</v>
      </c>
      <c r="O12" s="6" t="n">
        <f aca="false">A12</f>
        <v>9</v>
      </c>
      <c r="P12" s="4" t="s">
        <v>78</v>
      </c>
    </row>
    <row r="13" customFormat="false" ht="15" hidden="false" customHeight="false" outlineLevel="0" collapsed="false">
      <c r="A13" s="6" t="n">
        <v>10</v>
      </c>
      <c r="B13" s="4" t="s">
        <v>67</v>
      </c>
      <c r="C13" s="6" t="n">
        <f aca="false">IF(A13&lt;=12,A13,IF(A13&gt;=17,A13-4,"new"))</f>
        <v>10</v>
      </c>
      <c r="D13" s="4" t="s">
        <v>100</v>
      </c>
      <c r="E13" s="4" t="s">
        <v>101</v>
      </c>
      <c r="F13" s="6" t="s">
        <v>70</v>
      </c>
      <c r="G13" s="6" t="n">
        <f aca="false">IF(A13&lt;=10,A13,IF(A13&gt;=19,A13-8,"—"))</f>
        <v>10</v>
      </c>
      <c r="H13" s="4" t="s">
        <v>41</v>
      </c>
      <c r="I13" s="4" t="s">
        <v>41</v>
      </c>
      <c r="J13" s="6" t="n">
        <f aca="false">IF(A13&lt;=12,A13,IF(A13&gt;=17,A13-4,"—"))</f>
        <v>10</v>
      </c>
      <c r="K13" s="4" t="s">
        <v>27</v>
      </c>
      <c r="L13" s="4" t="s">
        <v>27</v>
      </c>
      <c r="M13" s="4" t="s">
        <v>27</v>
      </c>
      <c r="N13" s="4" t="s">
        <v>71</v>
      </c>
      <c r="O13" s="6" t="n">
        <f aca="false">A13</f>
        <v>10</v>
      </c>
      <c r="P13" s="4" t="s">
        <v>83</v>
      </c>
    </row>
    <row r="14" customFormat="false" ht="23.85" hidden="false" customHeight="false" outlineLevel="0" collapsed="false">
      <c r="A14" s="6" t="n">
        <v>11</v>
      </c>
      <c r="B14" s="4" t="s">
        <v>67</v>
      </c>
      <c r="C14" s="6" t="n">
        <f aca="false">IF(A14&lt;=12,A14,IF(A14&gt;=17,A14-4,"new"))</f>
        <v>11</v>
      </c>
      <c r="D14" s="4" t="s">
        <v>102</v>
      </c>
      <c r="E14" s="4" t="s">
        <v>103</v>
      </c>
      <c r="F14" s="6" t="s">
        <v>70</v>
      </c>
      <c r="G14" s="6" t="str">
        <f aca="false">IF(A14&lt;=10,A14,IF(A14&gt;=19,A14-8,"—"))</f>
        <v>—</v>
      </c>
      <c r="H14" s="4" t="s">
        <v>104</v>
      </c>
      <c r="I14" s="4" t="s">
        <v>104</v>
      </c>
      <c r="J14" s="6" t="n">
        <f aca="false">IF(A14&lt;=12,A14,IF(A14&gt;=17,A14-4,"—"))</f>
        <v>11</v>
      </c>
      <c r="K14" s="4" t="s">
        <v>93</v>
      </c>
      <c r="L14" s="4" t="s">
        <v>93</v>
      </c>
      <c r="M14" s="4" t="s">
        <v>93</v>
      </c>
      <c r="N14" s="4" t="s">
        <v>71</v>
      </c>
      <c r="O14" s="6" t="n">
        <f aca="false">A14</f>
        <v>11</v>
      </c>
      <c r="P14" s="4" t="s">
        <v>87</v>
      </c>
    </row>
    <row r="15" customFormat="false" ht="23.85" hidden="false" customHeight="false" outlineLevel="0" collapsed="false">
      <c r="A15" s="7" t="n">
        <v>12</v>
      </c>
      <c r="B15" s="5" t="s">
        <v>67</v>
      </c>
      <c r="C15" s="7" t="n">
        <f aca="false">IF(A15&lt;=12,A15,IF(A15&gt;=17,A15-4,"new"))</f>
        <v>12</v>
      </c>
      <c r="D15" s="5" t="s">
        <v>105</v>
      </c>
      <c r="E15" s="5" t="s">
        <v>106</v>
      </c>
      <c r="F15" s="7" t="s">
        <v>92</v>
      </c>
      <c r="G15" s="7" t="str">
        <f aca="false">IF(A15&lt;=10,A15,IF(A15&gt;=19,A15-8,"—"))</f>
        <v>—</v>
      </c>
      <c r="H15" s="5" t="s">
        <v>104</v>
      </c>
      <c r="I15" s="5" t="s">
        <v>104</v>
      </c>
      <c r="J15" s="7" t="n">
        <f aca="false">IF(A15&lt;=12,A15,IF(A15&gt;=17,A15-4,"—"))</f>
        <v>12</v>
      </c>
      <c r="K15" s="5" t="s">
        <v>41</v>
      </c>
      <c r="L15" s="5" t="s">
        <v>41</v>
      </c>
      <c r="M15" s="5" t="s">
        <v>41</v>
      </c>
      <c r="N15" s="5" t="s">
        <v>41</v>
      </c>
      <c r="O15" s="7" t="n">
        <f aca="false">A15</f>
        <v>12</v>
      </c>
      <c r="P15" s="5" t="s">
        <v>27</v>
      </c>
    </row>
    <row r="16" customFormat="false" ht="23.85" hidden="false" customHeight="false" outlineLevel="0" collapsed="false">
      <c r="A16" s="8" t="n">
        <v>13</v>
      </c>
      <c r="B16" s="9" t="s">
        <v>67</v>
      </c>
      <c r="C16" s="8" t="str">
        <f aca="false">IF(A16&lt;=12,A16,IF(A16&gt;=17,A16-4,"new"))</f>
        <v>new</v>
      </c>
      <c r="D16" s="9" t="s">
        <v>107</v>
      </c>
      <c r="E16" s="9" t="s">
        <v>108</v>
      </c>
      <c r="F16" s="8" t="s">
        <v>92</v>
      </c>
      <c r="G16" s="8" t="str">
        <f aca="false">IF(A16&lt;=10,A16,IF(A16&gt;=19,A16-8,"—"))</f>
        <v>—</v>
      </c>
      <c r="H16" s="9" t="s">
        <v>104</v>
      </c>
      <c r="I16" s="9" t="s">
        <v>104</v>
      </c>
      <c r="J16" s="8" t="str">
        <f aca="false">IF(A16&lt;=12,A16,IF(A16&gt;=17,A16-4,"—"))</f>
        <v>—</v>
      </c>
      <c r="K16" s="9" t="s">
        <v>104</v>
      </c>
      <c r="L16" s="9" t="s">
        <v>104</v>
      </c>
      <c r="M16" s="9" t="s">
        <v>104</v>
      </c>
      <c r="N16" s="9" t="s">
        <v>104</v>
      </c>
      <c r="O16" s="8" t="n">
        <f aca="false">A16</f>
        <v>13</v>
      </c>
      <c r="P16" s="9" t="s">
        <v>109</v>
      </c>
    </row>
    <row r="17" customFormat="false" ht="23.85" hidden="false" customHeight="false" outlineLevel="0" collapsed="false">
      <c r="A17" s="8" t="n">
        <v>14</v>
      </c>
      <c r="B17" s="9" t="s">
        <v>67</v>
      </c>
      <c r="C17" s="8" t="str">
        <f aca="false">IF(A17&lt;=12,A17,IF(A17&gt;=17,A17-4,"new"))</f>
        <v>new</v>
      </c>
      <c r="D17" s="9" t="s">
        <v>107</v>
      </c>
      <c r="E17" s="9" t="s">
        <v>110</v>
      </c>
      <c r="F17" s="8" t="s">
        <v>92</v>
      </c>
      <c r="G17" s="8" t="str">
        <f aca="false">IF(A17&lt;=10,A17,IF(A17&gt;=19,A17-8,"—"))</f>
        <v>—</v>
      </c>
      <c r="H17" s="9" t="s">
        <v>104</v>
      </c>
      <c r="I17" s="9" t="s">
        <v>104</v>
      </c>
      <c r="J17" s="8" t="str">
        <f aca="false">IF(A17&lt;=12,A17,IF(A17&gt;=17,A17-4,"—"))</f>
        <v>—</v>
      </c>
      <c r="K17" s="9" t="s">
        <v>104</v>
      </c>
      <c r="L17" s="9" t="s">
        <v>104</v>
      </c>
      <c r="M17" s="9" t="s">
        <v>104</v>
      </c>
      <c r="N17" s="9" t="s">
        <v>104</v>
      </c>
      <c r="O17" s="8" t="n">
        <f aca="false">A17</f>
        <v>14</v>
      </c>
      <c r="P17" s="9" t="s">
        <v>111</v>
      </c>
    </row>
    <row r="18" customFormat="false" ht="23.85" hidden="false" customHeight="false" outlineLevel="0" collapsed="false">
      <c r="A18" s="8" t="n">
        <v>15</v>
      </c>
      <c r="B18" s="9" t="s">
        <v>112</v>
      </c>
      <c r="C18" s="8" t="str">
        <f aca="false">IF(A18&lt;=12,A18,IF(A18&gt;=17,A18-4,"new"))</f>
        <v>new</v>
      </c>
      <c r="D18" s="9" t="s">
        <v>107</v>
      </c>
      <c r="E18" s="9" t="s">
        <v>113</v>
      </c>
      <c r="F18" s="8" t="s">
        <v>92</v>
      </c>
      <c r="G18" s="8" t="str">
        <f aca="false">IF(A18&lt;=10,A18,IF(A18&gt;=19,A18-8,"—"))</f>
        <v>—</v>
      </c>
      <c r="H18" s="9" t="s">
        <v>104</v>
      </c>
      <c r="I18" s="9" t="s">
        <v>104</v>
      </c>
      <c r="J18" s="8" t="str">
        <f aca="false">IF(A18&lt;=12,A18,IF(A18&gt;=17,A18-4,"—"))</f>
        <v>—</v>
      </c>
      <c r="K18" s="9" t="s">
        <v>104</v>
      </c>
      <c r="L18" s="9" t="s">
        <v>104</v>
      </c>
      <c r="M18" s="9" t="s">
        <v>104</v>
      </c>
      <c r="N18" s="9" t="s">
        <v>104</v>
      </c>
      <c r="O18" s="8" t="n">
        <f aca="false">A18</f>
        <v>15</v>
      </c>
      <c r="P18" s="9" t="s">
        <v>35</v>
      </c>
    </row>
    <row r="19" customFormat="false" ht="23.85" hidden="false" customHeight="false" outlineLevel="0" collapsed="false">
      <c r="A19" s="8" t="n">
        <v>16</v>
      </c>
      <c r="B19" s="9" t="s">
        <v>112</v>
      </c>
      <c r="C19" s="8" t="str">
        <f aca="false">IF(A19&lt;=12,A19,IF(A19&gt;=17,A19-4,"new"))</f>
        <v>new</v>
      </c>
      <c r="D19" s="9" t="s">
        <v>107</v>
      </c>
      <c r="E19" s="9" t="s">
        <v>114</v>
      </c>
      <c r="F19" s="8" t="s">
        <v>92</v>
      </c>
      <c r="G19" s="8" t="str">
        <f aca="false">IF(A19&lt;=10,A19,IF(A19&gt;=19,A19-8,"—"))</f>
        <v>—</v>
      </c>
      <c r="H19" s="9" t="s">
        <v>104</v>
      </c>
      <c r="I19" s="9" t="s">
        <v>104</v>
      </c>
      <c r="J19" s="8" t="str">
        <f aca="false">IF(A19&lt;=12,A19,IF(A19&gt;=17,A19-4,"—"))</f>
        <v>—</v>
      </c>
      <c r="K19" s="9" t="s">
        <v>104</v>
      </c>
      <c r="L19" s="9" t="s">
        <v>104</v>
      </c>
      <c r="M19" s="9" t="s">
        <v>104</v>
      </c>
      <c r="N19" s="9" t="s">
        <v>104</v>
      </c>
      <c r="O19" s="8" t="n">
        <f aca="false">A19</f>
        <v>16</v>
      </c>
      <c r="P19" s="9" t="s">
        <v>72</v>
      </c>
    </row>
    <row r="20" customFormat="false" ht="23.85" hidden="false" customHeight="false" outlineLevel="0" collapsed="false">
      <c r="A20" s="6" t="n">
        <v>17</v>
      </c>
      <c r="B20" s="4" t="s">
        <v>112</v>
      </c>
      <c r="C20" s="6" t="n">
        <f aca="false">IF(A20&lt;=12,A20,IF(A20&gt;=17,A20-4,"new"))</f>
        <v>13</v>
      </c>
      <c r="D20" s="4" t="s">
        <v>115</v>
      </c>
      <c r="E20" s="4" t="s">
        <v>116</v>
      </c>
      <c r="F20" s="6" t="s">
        <v>70</v>
      </c>
      <c r="G20" s="6" t="str">
        <f aca="false">IF(A20&lt;=10,A20,IF(A20&gt;=19,A20-8,"—"))</f>
        <v>—</v>
      </c>
      <c r="H20" s="4" t="s">
        <v>104</v>
      </c>
      <c r="I20" s="4" t="s">
        <v>104</v>
      </c>
      <c r="J20" s="6" t="n">
        <f aca="false">IF(A20&lt;=12,A20,IF(A20&gt;=17,A20-4,"—"))</f>
        <v>13</v>
      </c>
      <c r="K20" s="4" t="s">
        <v>96</v>
      </c>
      <c r="L20" s="4" t="s">
        <v>96</v>
      </c>
      <c r="M20" s="4" t="s">
        <v>96</v>
      </c>
      <c r="N20" s="4" t="s">
        <v>117</v>
      </c>
      <c r="O20" s="6" t="n">
        <f aca="false">A20</f>
        <v>17</v>
      </c>
      <c r="P20" s="4" t="s">
        <v>72</v>
      </c>
    </row>
    <row r="21" customFormat="false" ht="23.85" hidden="false" customHeight="false" outlineLevel="0" collapsed="false">
      <c r="A21" s="6" t="n">
        <v>18</v>
      </c>
      <c r="B21" s="4" t="s">
        <v>112</v>
      </c>
      <c r="C21" s="6" t="n">
        <f aca="false">IF(A21&lt;=12,A21,IF(A21&gt;=17,A21-4,"new"))</f>
        <v>14</v>
      </c>
      <c r="D21" s="4" t="s">
        <v>118</v>
      </c>
      <c r="E21" s="4" t="s">
        <v>119</v>
      </c>
      <c r="F21" s="6" t="s">
        <v>70</v>
      </c>
      <c r="G21" s="6" t="str">
        <f aca="false">IF(A21&lt;=10,A21,IF(A21&gt;=19,A21-8,"—"))</f>
        <v>—</v>
      </c>
      <c r="H21" s="4" t="s">
        <v>104</v>
      </c>
      <c r="I21" s="4" t="s">
        <v>104</v>
      </c>
      <c r="J21" s="6" t="n">
        <f aca="false">IF(A21&lt;=12,A21,IF(A21&gt;=17,A21-4,"—"))</f>
        <v>14</v>
      </c>
      <c r="K21" s="4" t="s">
        <v>99</v>
      </c>
      <c r="L21" s="4" t="s">
        <v>71</v>
      </c>
      <c r="M21" s="4" t="s">
        <v>99</v>
      </c>
      <c r="N21" s="4" t="s">
        <v>71</v>
      </c>
      <c r="O21" s="6" t="n">
        <f aca="false">A21</f>
        <v>18</v>
      </c>
      <c r="P21" s="4" t="s">
        <v>72</v>
      </c>
    </row>
    <row r="22" customFormat="false" ht="15" hidden="false" customHeight="false" outlineLevel="0" collapsed="false">
      <c r="A22" s="6" t="n">
        <v>19</v>
      </c>
      <c r="B22" s="4" t="s">
        <v>112</v>
      </c>
      <c r="C22" s="6" t="n">
        <f aca="false">IF(A22&lt;=12,A22,IF(A22&gt;=17,A22-4,"new"))</f>
        <v>15</v>
      </c>
      <c r="D22" s="4" t="s">
        <v>120</v>
      </c>
      <c r="E22" s="4" t="s">
        <v>121</v>
      </c>
      <c r="F22" s="6" t="s">
        <v>70</v>
      </c>
      <c r="G22" s="6" t="n">
        <f aca="false">IF(A22&lt;=10,A22,IF(A22&gt;=19,A22-8,"—"))</f>
        <v>11</v>
      </c>
      <c r="H22" s="4" t="s">
        <v>96</v>
      </c>
      <c r="I22" s="4" t="s">
        <v>71</v>
      </c>
      <c r="J22" s="6" t="n">
        <f aca="false">IF(A22&lt;=12,A22,IF(A22&gt;=17,A22-4,"—"))</f>
        <v>15</v>
      </c>
      <c r="K22" s="4" t="s">
        <v>71</v>
      </c>
      <c r="L22" s="4" t="s">
        <v>99</v>
      </c>
      <c r="M22" s="4" t="s">
        <v>71</v>
      </c>
      <c r="N22" s="4" t="s">
        <v>71</v>
      </c>
      <c r="O22" s="6" t="n">
        <f aca="false">A22</f>
        <v>19</v>
      </c>
      <c r="P22" s="4" t="s">
        <v>72</v>
      </c>
    </row>
    <row r="23" customFormat="false" ht="15" hidden="false" customHeight="false" outlineLevel="0" collapsed="false">
      <c r="A23" s="6" t="n">
        <v>20</v>
      </c>
      <c r="B23" s="4" t="s">
        <v>112</v>
      </c>
      <c r="C23" s="6" t="n">
        <f aca="false">IF(A23&lt;=12,A23,IF(A23&gt;=17,A23-4,"new"))</f>
        <v>16</v>
      </c>
      <c r="D23" s="4" t="s">
        <v>122</v>
      </c>
      <c r="E23" s="4" t="s">
        <v>123</v>
      </c>
      <c r="F23" s="6" t="s">
        <v>70</v>
      </c>
      <c r="G23" s="6" t="n">
        <f aca="false">IF(A23&lt;=10,A23,IF(A23&gt;=19,A23-8,"—"))</f>
        <v>12</v>
      </c>
      <c r="H23" s="4" t="s">
        <v>99</v>
      </c>
      <c r="I23" s="4" t="s">
        <v>71</v>
      </c>
      <c r="J23" s="6" t="n">
        <f aca="false">IF(A23&lt;=12,A23,IF(A23&gt;=17,A23-4,"—"))</f>
        <v>16</v>
      </c>
      <c r="K23" s="4" t="s">
        <v>71</v>
      </c>
      <c r="L23" s="4" t="s">
        <v>71</v>
      </c>
      <c r="M23" s="4" t="s">
        <v>71</v>
      </c>
      <c r="N23" s="4" t="s">
        <v>71</v>
      </c>
      <c r="O23" s="6" t="n">
        <f aca="false">A23</f>
        <v>20</v>
      </c>
      <c r="P23" s="4" t="s">
        <v>72</v>
      </c>
    </row>
    <row r="24" customFormat="false" ht="23.85" hidden="false" customHeight="false" outlineLevel="0" collapsed="false">
      <c r="A24" s="7" t="n">
        <v>21</v>
      </c>
      <c r="B24" s="5" t="s">
        <v>112</v>
      </c>
      <c r="C24" s="7" t="n">
        <f aca="false">IF(A24&lt;=12,A24,IF(A24&gt;=17,A24-4,"new"))</f>
        <v>17</v>
      </c>
      <c r="D24" s="5" t="s">
        <v>124</v>
      </c>
      <c r="E24" s="5" t="s">
        <v>125</v>
      </c>
      <c r="F24" s="7" t="s">
        <v>92</v>
      </c>
      <c r="G24" s="7" t="n">
        <f aca="false">IF(A24&lt;=10,A24,IF(A24&gt;=19,A24-8,"—"))</f>
        <v>13</v>
      </c>
      <c r="H24" s="5" t="s">
        <v>71</v>
      </c>
      <c r="I24" s="5" t="s">
        <v>71</v>
      </c>
      <c r="J24" s="7" t="n">
        <f aca="false">IF(A24&lt;=12,A24,IF(A24&gt;=17,A24-4,"—"))</f>
        <v>17</v>
      </c>
      <c r="K24" s="5" t="s">
        <v>71</v>
      </c>
      <c r="L24" s="5" t="s">
        <v>71</v>
      </c>
      <c r="M24" s="5" t="s">
        <v>71</v>
      </c>
      <c r="N24" s="5" t="s">
        <v>71</v>
      </c>
      <c r="O24" s="7" t="n">
        <f aca="false">A24</f>
        <v>21</v>
      </c>
      <c r="P24" s="5" t="s">
        <v>41</v>
      </c>
    </row>
    <row r="25" customFormat="false" ht="15" hidden="false" customHeight="false" outlineLevel="0" collapsed="false">
      <c r="A25" s="6" t="n">
        <v>22</v>
      </c>
      <c r="B25" s="4" t="s">
        <v>112</v>
      </c>
      <c r="C25" s="6" t="n">
        <f aca="false">IF(A25&lt;=12,A25,IF(A25&gt;=17,A25-4,"new"))</f>
        <v>18</v>
      </c>
      <c r="D25" s="4" t="s">
        <v>126</v>
      </c>
      <c r="E25" s="4" t="s">
        <v>127</v>
      </c>
      <c r="F25" s="6" t="s">
        <v>70</v>
      </c>
      <c r="G25" s="6" t="n">
        <f aca="false">IF(A25&lt;=10,A25,IF(A25&gt;=19,A25-8,"—"))</f>
        <v>14</v>
      </c>
      <c r="H25" s="4" t="s">
        <v>71</v>
      </c>
      <c r="I25" s="4" t="s">
        <v>71</v>
      </c>
      <c r="J25" s="6" t="n">
        <f aca="false">IF(A25&lt;=12,A25,IF(A25&gt;=17,A25-4,"—"))</f>
        <v>18</v>
      </c>
      <c r="K25" s="4" t="s">
        <v>71</v>
      </c>
      <c r="L25" s="4" t="s">
        <v>71</v>
      </c>
      <c r="M25" s="4" t="s">
        <v>71</v>
      </c>
      <c r="N25" s="4" t="s">
        <v>71</v>
      </c>
      <c r="O25" s="6" t="n">
        <f aca="false">A25</f>
        <v>22</v>
      </c>
      <c r="P25" s="4" t="s">
        <v>72</v>
      </c>
    </row>
    <row r="26" customFormat="false" ht="15" hidden="false" customHeight="false" outlineLevel="0" collapsed="false">
      <c r="A26" s="6" t="n">
        <v>23</v>
      </c>
      <c r="B26" s="4" t="s">
        <v>112</v>
      </c>
      <c r="C26" s="6" t="n">
        <f aca="false">IF(A26&lt;=12,A26,IF(A26&gt;=17,A26-4,"new"))</f>
        <v>19</v>
      </c>
      <c r="D26" s="4" t="s">
        <v>128</v>
      </c>
      <c r="E26" s="4" t="s">
        <v>129</v>
      </c>
      <c r="F26" s="6" t="s">
        <v>70</v>
      </c>
      <c r="G26" s="6" t="n">
        <f aca="false">IF(A26&lt;=10,A26,IF(A26&gt;=19,A26-8,"—"))</f>
        <v>15</v>
      </c>
      <c r="H26" s="4" t="s">
        <v>71</v>
      </c>
      <c r="I26" s="4" t="s">
        <v>71</v>
      </c>
      <c r="J26" s="6" t="n">
        <f aca="false">IF(A26&lt;=12,A26,IF(A26&gt;=17,A26-4,"—"))</f>
        <v>19</v>
      </c>
      <c r="K26" s="4" t="s">
        <v>71</v>
      </c>
      <c r="L26" s="4" t="s">
        <v>71</v>
      </c>
      <c r="M26" s="4" t="s">
        <v>71</v>
      </c>
      <c r="N26" s="4" t="s">
        <v>71</v>
      </c>
      <c r="O26" s="6" t="n">
        <f aca="false">A26</f>
        <v>23</v>
      </c>
      <c r="P26" s="4" t="s">
        <v>72</v>
      </c>
    </row>
    <row r="27" customFormat="false" ht="15" hidden="false" customHeight="false" outlineLevel="0" collapsed="false">
      <c r="A27" s="6" t="n">
        <v>24</v>
      </c>
      <c r="B27" s="4" t="s">
        <v>112</v>
      </c>
      <c r="C27" s="6" t="n">
        <f aca="false">IF(A27&lt;=12,A27,IF(A27&gt;=17,A27-4,"new"))</f>
        <v>20</v>
      </c>
      <c r="D27" s="4" t="s">
        <v>130</v>
      </c>
      <c r="E27" s="4" t="s">
        <v>131</v>
      </c>
      <c r="F27" s="6" t="s">
        <v>70</v>
      </c>
      <c r="G27" s="6" t="n">
        <f aca="false">IF(A27&lt;=10,A27,IF(A27&gt;=19,A27-8,"—"))</f>
        <v>16</v>
      </c>
      <c r="H27" s="4" t="s">
        <v>71</v>
      </c>
      <c r="I27" s="4" t="s">
        <v>82</v>
      </c>
      <c r="J27" s="6" t="n">
        <f aca="false">IF(A27&lt;=12,A27,IF(A27&gt;=17,A27-4,"—"))</f>
        <v>20</v>
      </c>
      <c r="K27" s="4" t="s">
        <v>71</v>
      </c>
      <c r="L27" s="4" t="s">
        <v>71</v>
      </c>
      <c r="M27" s="4" t="s">
        <v>71</v>
      </c>
      <c r="N27" s="4" t="s">
        <v>71</v>
      </c>
      <c r="O27" s="6" t="n">
        <f aca="false">A27</f>
        <v>24</v>
      </c>
      <c r="P27" s="4" t="s">
        <v>72</v>
      </c>
    </row>
    <row r="28" customFormat="false" ht="15" hidden="false" customHeight="false" outlineLevel="0" collapsed="false">
      <c r="A28" s="6" t="n">
        <v>25</v>
      </c>
      <c r="B28" s="4" t="s">
        <v>112</v>
      </c>
      <c r="C28" s="6" t="n">
        <f aca="false">IF(A28&lt;=12,A28,IF(A28&gt;=17,A28-4,"new"))</f>
        <v>21</v>
      </c>
      <c r="D28" s="4" t="s">
        <v>132</v>
      </c>
      <c r="E28" s="4" t="s">
        <v>133</v>
      </c>
      <c r="F28" s="6" t="s">
        <v>70</v>
      </c>
      <c r="G28" s="6" t="n">
        <f aca="false">IF(A28&lt;=10,A28,IF(A28&gt;=19,A28-8,"—"))</f>
        <v>17</v>
      </c>
      <c r="H28" s="4" t="s">
        <v>71</v>
      </c>
      <c r="I28" s="4" t="s">
        <v>77</v>
      </c>
      <c r="J28" s="6" t="n">
        <f aca="false">IF(A28&lt;=12,A28,IF(A28&gt;=17,A28-4,"—"))</f>
        <v>21</v>
      </c>
      <c r="K28" s="4" t="s">
        <v>71</v>
      </c>
      <c r="L28" s="4" t="s">
        <v>84</v>
      </c>
      <c r="M28" s="4" t="s">
        <v>71</v>
      </c>
      <c r="N28" s="4" t="s">
        <v>71</v>
      </c>
      <c r="O28" s="6" t="n">
        <f aca="false">A28</f>
        <v>25</v>
      </c>
      <c r="P28" s="4" t="s">
        <v>72</v>
      </c>
    </row>
    <row r="29" customFormat="false" ht="15" hidden="false" customHeight="false" outlineLevel="0" collapsed="false">
      <c r="A29" s="6" t="n">
        <v>26</v>
      </c>
      <c r="B29" s="4" t="s">
        <v>112</v>
      </c>
      <c r="C29" s="6" t="n">
        <f aca="false">IF(A29&lt;=12,A29,IF(A29&gt;=17,A29-4,"new"))</f>
        <v>22</v>
      </c>
      <c r="D29" s="4" t="s">
        <v>134</v>
      </c>
      <c r="E29" s="4" t="s">
        <v>135</v>
      </c>
      <c r="F29" s="6" t="s">
        <v>70</v>
      </c>
      <c r="G29" s="6" t="n">
        <f aca="false">IF(A29&lt;=10,A29,IF(A29&gt;=19,A29-8,"—"))</f>
        <v>18</v>
      </c>
      <c r="H29" s="4" t="s">
        <v>84</v>
      </c>
      <c r="I29" s="4" t="s">
        <v>84</v>
      </c>
      <c r="J29" s="6" t="n">
        <f aca="false">IF(A29&lt;=12,A29,IF(A29&gt;=17,A29-4,"—"))</f>
        <v>22</v>
      </c>
      <c r="K29" s="4" t="s">
        <v>71</v>
      </c>
      <c r="L29" s="4" t="s">
        <v>11</v>
      </c>
      <c r="M29" s="4" t="s">
        <v>71</v>
      </c>
      <c r="N29" s="4" t="s">
        <v>136</v>
      </c>
      <c r="O29" s="6" t="n">
        <f aca="false">A29</f>
        <v>26</v>
      </c>
      <c r="P29" s="4" t="s">
        <v>72</v>
      </c>
    </row>
    <row r="30" customFormat="false" ht="15" hidden="false" customHeight="false" outlineLevel="0" collapsed="false">
      <c r="A30" s="6" t="n">
        <v>27</v>
      </c>
      <c r="B30" s="4" t="s">
        <v>112</v>
      </c>
      <c r="C30" s="6" t="n">
        <f aca="false">IF(A30&lt;=12,A30,IF(A30&gt;=17,A30-4,"new"))</f>
        <v>23</v>
      </c>
      <c r="D30" s="4" t="s">
        <v>137</v>
      </c>
      <c r="E30" s="4" t="s">
        <v>138</v>
      </c>
      <c r="F30" s="6" t="s">
        <v>70</v>
      </c>
      <c r="G30" s="6" t="n">
        <f aca="false">IF(A30&lt;=10,A30,IF(A30&gt;=19,A30-8,"—"))</f>
        <v>19</v>
      </c>
      <c r="H30" s="4" t="s">
        <v>11</v>
      </c>
      <c r="I30" s="4" t="s">
        <v>11</v>
      </c>
      <c r="J30" s="6" t="n">
        <f aca="false">IF(A30&lt;=12,A30,IF(A30&gt;=17,A30-4,"—"))</f>
        <v>23</v>
      </c>
      <c r="K30" s="4" t="s">
        <v>71</v>
      </c>
      <c r="L30" s="4" t="s">
        <v>71</v>
      </c>
      <c r="M30" s="4" t="s">
        <v>11</v>
      </c>
      <c r="N30" s="4" t="s">
        <v>139</v>
      </c>
      <c r="O30" s="6" t="n">
        <f aca="false">A30</f>
        <v>27</v>
      </c>
      <c r="P30" s="4" t="s">
        <v>72</v>
      </c>
    </row>
    <row r="31" customFormat="false" ht="23.85" hidden="false" customHeight="false" outlineLevel="0" collapsed="false">
      <c r="A31" s="7" t="n">
        <v>28</v>
      </c>
      <c r="B31" s="5" t="s">
        <v>112</v>
      </c>
      <c r="C31" s="7" t="n">
        <f aca="false">IF(A31&lt;=12,A31,IF(A31&gt;=17,A31-4,"new"))</f>
        <v>24</v>
      </c>
      <c r="D31" s="5" t="s">
        <v>140</v>
      </c>
      <c r="E31" s="5" t="s">
        <v>141</v>
      </c>
      <c r="F31" s="7" t="s">
        <v>92</v>
      </c>
      <c r="G31" s="7" t="n">
        <f aca="false">IF(A31&lt;=10,A31,IF(A31&gt;=19,A31-8,"—"))</f>
        <v>20</v>
      </c>
      <c r="H31" s="5" t="s">
        <v>17</v>
      </c>
      <c r="I31" s="5" t="s">
        <v>17</v>
      </c>
      <c r="J31" s="7" t="n">
        <f aca="false">IF(A31&lt;=12,A31,IF(A31&gt;=17,A31-4,"—"))</f>
        <v>24</v>
      </c>
      <c r="K31" s="5" t="s">
        <v>17</v>
      </c>
      <c r="L31" s="5" t="s">
        <v>17</v>
      </c>
      <c r="M31" s="5" t="s">
        <v>17</v>
      </c>
      <c r="N31" s="5" t="s">
        <v>17</v>
      </c>
      <c r="O31" s="7" t="n">
        <f aca="false">A31</f>
        <v>28</v>
      </c>
      <c r="P31" s="5" t="s">
        <v>72</v>
      </c>
    </row>
    <row r="33" customFormat="false" ht="15" hidden="false" customHeight="false" outlineLevel="0" collapsed="false">
      <c r="A33" s="2" t="s">
        <v>142</v>
      </c>
    </row>
    <row r="34" customFormat="false" ht="15" hidden="false" customHeight="false" outlineLevel="0" collapsed="false">
      <c r="A34" s="2" t="s">
        <v>143</v>
      </c>
    </row>
    <row r="35" customFormat="false" ht="15" hidden="false" customHeight="false" outlineLevel="0" collapsed="false">
      <c r="A35" s="2" t="s">
        <v>144</v>
      </c>
    </row>
    <row r="36" customFormat="false" ht="15" hidden="false" customHeight="false" outlineLevel="0" collapsed="false">
      <c r="A36" s="2" t="s">
        <v>49</v>
      </c>
    </row>
    <row r="38" customFormat="false" ht="15" hidden="false" customHeight="false" outlineLevel="0" collapsed="false">
      <c r="A38" s="10" t="s">
        <v>145</v>
      </c>
      <c r="E38" s="10" t="n">
        <f aca="false">COUNTIF(F4:F31,"Yes")</f>
        <v>8</v>
      </c>
    </row>
    <row r="39" customFormat="false" ht="15" hidden="false" customHeight="false" outlineLevel="0" collapsed="false">
      <c r="A39" s="10" t="s">
        <v>146</v>
      </c>
      <c r="E39" s="10" t="n">
        <f aca="false">COUNTIF(C4:C31,"new")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3" customFormat="false" ht="30" hidden="false" customHeight="true" outlineLevel="0" collapsed="false">
      <c r="A3" s="3" t="s">
        <v>149</v>
      </c>
      <c r="B3" s="3" t="s">
        <v>150</v>
      </c>
      <c r="C3" s="3" t="s">
        <v>151</v>
      </c>
      <c r="D3" s="3" t="s">
        <v>152</v>
      </c>
      <c r="E3" s="3" t="s">
        <v>153</v>
      </c>
      <c r="F3" s="3" t="s">
        <v>154</v>
      </c>
      <c r="G3" s="3" t="s">
        <v>155</v>
      </c>
    </row>
    <row r="4" customFormat="false" ht="23.85" hidden="false" customHeight="false" outlineLevel="0" collapsed="false">
      <c r="A4" s="4" t="s">
        <v>156</v>
      </c>
      <c r="B4" s="4" t="n">
        <v>15</v>
      </c>
      <c r="C4" s="4" t="s">
        <v>157</v>
      </c>
      <c r="D4" s="4" t="s">
        <v>158</v>
      </c>
      <c r="E4" s="4" t="s">
        <v>159</v>
      </c>
      <c r="F4" s="4" t="s">
        <v>160</v>
      </c>
      <c r="G4" s="4" t="s">
        <v>161</v>
      </c>
    </row>
    <row r="5" customFormat="false" ht="15" hidden="false" customHeight="false" outlineLevel="0" collapsed="false">
      <c r="A5" s="4" t="s">
        <v>162</v>
      </c>
      <c r="B5" s="4" t="n">
        <v>1</v>
      </c>
      <c r="C5" s="4" t="s">
        <v>163</v>
      </c>
      <c r="D5" s="4" t="s">
        <v>164</v>
      </c>
      <c r="E5" s="4" t="s">
        <v>165</v>
      </c>
      <c r="F5" s="4" t="s">
        <v>160</v>
      </c>
      <c r="G5" s="4" t="s">
        <v>161</v>
      </c>
    </row>
    <row r="6" customFormat="false" ht="15" hidden="false" customHeight="false" outlineLevel="0" collapsed="false">
      <c r="A6" s="4" t="s">
        <v>166</v>
      </c>
      <c r="B6" s="4" t="n">
        <v>2</v>
      </c>
      <c r="C6" s="4" t="s">
        <v>167</v>
      </c>
      <c r="D6" s="4" t="s">
        <v>168</v>
      </c>
      <c r="E6" s="4" t="s">
        <v>169</v>
      </c>
      <c r="F6" s="4" t="s">
        <v>160</v>
      </c>
      <c r="G6" s="4" t="s">
        <v>161</v>
      </c>
    </row>
    <row r="7" customFormat="false" ht="15" hidden="false" customHeight="false" outlineLevel="0" collapsed="false">
      <c r="A7" s="4" t="s">
        <v>170</v>
      </c>
      <c r="B7" s="4" t="n">
        <v>3</v>
      </c>
      <c r="C7" s="4" t="s">
        <v>171</v>
      </c>
      <c r="D7" s="4" t="s">
        <v>172</v>
      </c>
      <c r="E7" s="4" t="s">
        <v>173</v>
      </c>
      <c r="F7" s="4" t="s">
        <v>174</v>
      </c>
      <c r="G7" s="4" t="s">
        <v>175</v>
      </c>
    </row>
    <row r="8" customFormat="false" ht="15" hidden="false" customHeight="false" outlineLevel="0" collapsed="false">
      <c r="A8" s="4" t="s">
        <v>176</v>
      </c>
      <c r="B8" s="4" t="n">
        <v>4</v>
      </c>
      <c r="C8" s="4" t="s">
        <v>177</v>
      </c>
      <c r="D8" s="4" t="s">
        <v>178</v>
      </c>
      <c r="E8" s="4" t="s">
        <v>179</v>
      </c>
      <c r="F8" s="4" t="s">
        <v>180</v>
      </c>
      <c r="G8" s="4" t="s">
        <v>181</v>
      </c>
    </row>
    <row r="9" customFormat="false" ht="15" hidden="false" customHeight="false" outlineLevel="0" collapsed="false">
      <c r="A9" s="4" t="s">
        <v>182</v>
      </c>
      <c r="B9" s="4" t="n">
        <v>5</v>
      </c>
      <c r="C9" s="4" t="s">
        <v>183</v>
      </c>
      <c r="D9" s="4" t="s">
        <v>184</v>
      </c>
      <c r="E9" s="4" t="s">
        <v>185</v>
      </c>
      <c r="F9" s="4" t="s">
        <v>180</v>
      </c>
      <c r="G9" s="4" t="s">
        <v>181</v>
      </c>
    </row>
    <row r="10" customFormat="false" ht="15" hidden="false" customHeight="false" outlineLevel="0" collapsed="false">
      <c r="A10" s="4" t="s">
        <v>186</v>
      </c>
      <c r="B10" s="4" t="n">
        <v>6</v>
      </c>
      <c r="C10" s="4" t="s">
        <v>187</v>
      </c>
      <c r="D10" s="4" t="s">
        <v>188</v>
      </c>
      <c r="E10" s="4" t="s">
        <v>189</v>
      </c>
      <c r="F10" s="4" t="s">
        <v>190</v>
      </c>
      <c r="G10" s="4" t="s">
        <v>191</v>
      </c>
    </row>
    <row r="11" customFormat="false" ht="15" hidden="false" customHeight="false" outlineLevel="0" collapsed="false">
      <c r="A11" s="4" t="s">
        <v>192</v>
      </c>
      <c r="B11" s="4" t="n">
        <v>7</v>
      </c>
      <c r="C11" s="4" t="s">
        <v>193</v>
      </c>
      <c r="D11" s="4" t="s">
        <v>194</v>
      </c>
      <c r="E11" s="4" t="s">
        <v>185</v>
      </c>
      <c r="F11" s="4" t="s">
        <v>190</v>
      </c>
      <c r="G11" s="4" t="s">
        <v>191</v>
      </c>
    </row>
    <row r="12" customFormat="false" ht="15" hidden="false" customHeight="false" outlineLevel="0" collapsed="false">
      <c r="A12" s="4" t="s">
        <v>195</v>
      </c>
      <c r="B12" s="4" t="n">
        <v>9</v>
      </c>
      <c r="C12" s="4" t="s">
        <v>196</v>
      </c>
      <c r="D12" s="4" t="s">
        <v>197</v>
      </c>
      <c r="E12" s="4" t="s">
        <v>198</v>
      </c>
      <c r="F12" s="4" t="s">
        <v>196</v>
      </c>
      <c r="G12" s="4" t="s">
        <v>196</v>
      </c>
    </row>
    <row r="14" customFormat="false" ht="15" hidden="false" customHeight="false" outlineLevel="0" collapsed="false">
      <c r="A14" s="10" t="s">
        <v>199</v>
      </c>
      <c r="C14" s="11" t="s">
        <v>200</v>
      </c>
    </row>
    <row r="15" customFormat="false" ht="15" hidden="false" customHeight="false" outlineLevel="0" collapsed="false">
      <c r="A15" s="10" t="s">
        <v>201</v>
      </c>
      <c r="C15" s="11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6"/>
    <col collapsed="false" customWidth="true" hidden="false" outlineLevel="0" max="7" min="7" style="0" width="60"/>
    <col collapsed="false" customWidth="true" hidden="false" outlineLevel="0" max="9" min="8" style="0" width="14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3" customFormat="false" ht="30" hidden="false" customHeight="true" outlineLevel="0" collapsed="false">
      <c r="A3" s="3" t="s">
        <v>205</v>
      </c>
      <c r="B3" s="3" t="s">
        <v>206</v>
      </c>
      <c r="C3" s="3" t="s">
        <v>207</v>
      </c>
      <c r="D3" s="3" t="s">
        <v>208</v>
      </c>
      <c r="E3" s="3" t="s">
        <v>209</v>
      </c>
      <c r="F3" s="3" t="s">
        <v>210</v>
      </c>
      <c r="G3" s="3" t="s">
        <v>211</v>
      </c>
      <c r="H3" s="12" t="s">
        <v>212</v>
      </c>
      <c r="I3" s="12" t="s">
        <v>213</v>
      </c>
    </row>
    <row r="4" customFormat="false" ht="15" hidden="false" customHeight="false" outlineLevel="0" collapsed="false">
      <c r="A4" s="4" t="s">
        <v>214</v>
      </c>
      <c r="B4" s="6" t="s">
        <v>215</v>
      </c>
      <c r="C4" s="6" t="s">
        <v>215</v>
      </c>
      <c r="D4" s="6" t="s">
        <v>215</v>
      </c>
      <c r="E4" s="6" t="s">
        <v>215</v>
      </c>
      <c r="F4" s="6" t="s">
        <v>215</v>
      </c>
      <c r="G4" s="4" t="s">
        <v>216</v>
      </c>
      <c r="H4" s="11" t="n">
        <f aca="false">COUNTIF(B4:D4,"On")</f>
        <v>0</v>
      </c>
      <c r="I4" s="11" t="n">
        <f aca="false">COUNTIF(E4:F4,"On")</f>
        <v>0</v>
      </c>
    </row>
    <row r="5" customFormat="false" ht="15" hidden="false" customHeight="false" outlineLevel="0" collapsed="false">
      <c r="A5" s="4" t="s">
        <v>217</v>
      </c>
      <c r="B5" s="6" t="s">
        <v>218</v>
      </c>
      <c r="C5" s="6" t="s">
        <v>215</v>
      </c>
      <c r="D5" s="6" t="s">
        <v>215</v>
      </c>
      <c r="E5" s="6" t="s">
        <v>218</v>
      </c>
      <c r="F5" s="6" t="s">
        <v>215</v>
      </c>
      <c r="G5" s="4" t="s">
        <v>219</v>
      </c>
      <c r="H5" s="11" t="n">
        <f aca="false">COUNTIF(B5:D5,"On")</f>
        <v>1</v>
      </c>
      <c r="I5" s="11" t="n">
        <f aca="false">COUNTIF(E5:F5,"On")</f>
        <v>1</v>
      </c>
    </row>
    <row r="6" customFormat="false" ht="23.85" hidden="false" customHeight="false" outlineLevel="0" collapsed="false">
      <c r="A6" s="4" t="s">
        <v>220</v>
      </c>
      <c r="B6" s="6" t="s">
        <v>215</v>
      </c>
      <c r="C6" s="6" t="s">
        <v>218</v>
      </c>
      <c r="D6" s="6" t="s">
        <v>215</v>
      </c>
      <c r="E6" s="6" t="s">
        <v>218</v>
      </c>
      <c r="F6" s="6" t="s">
        <v>215</v>
      </c>
      <c r="G6" s="4" t="s">
        <v>221</v>
      </c>
      <c r="H6" s="11" t="n">
        <f aca="false">COUNTIF(B6:D6,"On")</f>
        <v>1</v>
      </c>
      <c r="I6" s="11" t="n">
        <f aca="false">COUNTIF(E6:F6,"On")</f>
        <v>1</v>
      </c>
    </row>
    <row r="7" customFormat="false" ht="23.85" hidden="false" customHeight="false" outlineLevel="0" collapsed="false">
      <c r="A7" s="4" t="s">
        <v>222</v>
      </c>
      <c r="B7" s="6" t="s">
        <v>215</v>
      </c>
      <c r="C7" s="6" t="s">
        <v>215</v>
      </c>
      <c r="D7" s="6" t="s">
        <v>218</v>
      </c>
      <c r="E7" s="6" t="s">
        <v>215</v>
      </c>
      <c r="F7" s="6" t="s">
        <v>218</v>
      </c>
      <c r="G7" s="4" t="s">
        <v>223</v>
      </c>
      <c r="H7" s="11" t="n">
        <f aca="false">COUNTIF(B7:D7,"On")</f>
        <v>1</v>
      </c>
      <c r="I7" s="11" t="n">
        <f aca="false">COUNTIF(E7:F7,"On")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5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 t="s">
        <v>225</v>
      </c>
    </row>
    <row r="3" customFormat="false" ht="30" hidden="false" customHeight="true" outlineLevel="0" collapsed="false">
      <c r="A3" s="3" t="s">
        <v>226</v>
      </c>
      <c r="B3" s="3" t="s">
        <v>227</v>
      </c>
      <c r="C3" s="3" t="s">
        <v>228</v>
      </c>
      <c r="D3" s="3" t="s">
        <v>229</v>
      </c>
      <c r="E3" s="3" t="s">
        <v>230</v>
      </c>
    </row>
    <row r="4" customFormat="false" ht="15" hidden="false" customHeight="false" outlineLevel="0" collapsed="false">
      <c r="A4" s="4" t="s">
        <v>231</v>
      </c>
      <c r="B4" s="4" t="s">
        <v>232</v>
      </c>
      <c r="C4" s="4" t="n">
        <v>1</v>
      </c>
      <c r="D4" s="4" t="s">
        <v>233</v>
      </c>
      <c r="E4" s="4" t="s">
        <v>5</v>
      </c>
    </row>
    <row r="5" customFormat="false" ht="15" hidden="false" customHeight="false" outlineLevel="0" collapsed="false">
      <c r="A5" s="4" t="s">
        <v>234</v>
      </c>
      <c r="B5" s="4" t="s">
        <v>235</v>
      </c>
      <c r="C5" s="4" t="n">
        <v>1</v>
      </c>
      <c r="D5" s="4" t="s">
        <v>236</v>
      </c>
      <c r="E5" s="4" t="s">
        <v>237</v>
      </c>
    </row>
    <row r="6" customFormat="false" ht="15" hidden="false" customHeight="false" outlineLevel="0" collapsed="false">
      <c r="A6" s="4" t="s">
        <v>238</v>
      </c>
      <c r="B6" s="4" t="s">
        <v>239</v>
      </c>
      <c r="C6" s="4" t="n">
        <v>1</v>
      </c>
      <c r="D6" s="4" t="s">
        <v>240</v>
      </c>
      <c r="E6" s="4" t="s">
        <v>237</v>
      </c>
    </row>
    <row r="7" customFormat="false" ht="15" hidden="false" customHeight="false" outlineLevel="0" collapsed="false">
      <c r="A7" s="4" t="s">
        <v>241</v>
      </c>
      <c r="B7" s="4" t="s">
        <v>242</v>
      </c>
      <c r="C7" s="4" t="n">
        <v>2</v>
      </c>
      <c r="D7" s="4" t="s">
        <v>243</v>
      </c>
      <c r="E7" s="4" t="s">
        <v>237</v>
      </c>
    </row>
    <row r="8" customFormat="false" ht="15" hidden="false" customHeight="false" outlineLevel="0" collapsed="false">
      <c r="A8" s="4" t="s">
        <v>244</v>
      </c>
      <c r="B8" s="4" t="s">
        <v>245</v>
      </c>
      <c r="C8" s="4" t="n">
        <v>2</v>
      </c>
      <c r="D8" s="4" t="s">
        <v>246</v>
      </c>
      <c r="E8" s="4" t="s">
        <v>237</v>
      </c>
    </row>
    <row r="9" customFormat="false" ht="15" hidden="false" customHeight="false" outlineLevel="0" collapsed="false">
      <c r="A9" s="4" t="s">
        <v>247</v>
      </c>
      <c r="B9" s="4" t="s">
        <v>248</v>
      </c>
      <c r="C9" s="4" t="n">
        <v>2</v>
      </c>
      <c r="D9" s="4" t="s">
        <v>249</v>
      </c>
      <c r="E9" s="4" t="s">
        <v>237</v>
      </c>
    </row>
    <row r="10" customFormat="false" ht="15" hidden="false" customHeight="false" outlineLevel="0" collapsed="false">
      <c r="A10" s="4" t="s">
        <v>250</v>
      </c>
      <c r="B10" s="4" t="s">
        <v>251</v>
      </c>
      <c r="C10" s="4" t="n">
        <v>2</v>
      </c>
      <c r="D10" s="4" t="s">
        <v>252</v>
      </c>
      <c r="E10" s="4" t="s">
        <v>237</v>
      </c>
    </row>
    <row r="11" customFormat="false" ht="15" hidden="false" customHeight="false" outlineLevel="0" collapsed="false">
      <c r="A11" s="4" t="s">
        <v>253</v>
      </c>
      <c r="B11" s="4" t="s">
        <v>251</v>
      </c>
      <c r="C11" s="4" t="n">
        <v>2</v>
      </c>
      <c r="D11" s="4" t="s">
        <v>254</v>
      </c>
      <c r="E11" s="4" t="s">
        <v>237</v>
      </c>
    </row>
    <row r="12" customFormat="false" ht="15" hidden="false" customHeight="false" outlineLevel="0" collapsed="false">
      <c r="A12" s="4" t="s">
        <v>255</v>
      </c>
      <c r="B12" s="4" t="s">
        <v>248</v>
      </c>
      <c r="C12" s="4" t="n">
        <v>1</v>
      </c>
      <c r="D12" s="4" t="s">
        <v>256</v>
      </c>
      <c r="E12" s="4" t="s">
        <v>237</v>
      </c>
    </row>
    <row r="13" customFormat="false" ht="15" hidden="false" customHeight="false" outlineLevel="0" collapsed="false">
      <c r="A13" s="4" t="s">
        <v>257</v>
      </c>
      <c r="B13" s="4" t="s">
        <v>248</v>
      </c>
      <c r="C13" s="4" t="n">
        <v>1</v>
      </c>
      <c r="D13" s="4" t="s">
        <v>258</v>
      </c>
      <c r="E13" s="4" t="s">
        <v>237</v>
      </c>
    </row>
    <row r="14" customFormat="false" ht="15" hidden="false" customHeight="false" outlineLevel="0" collapsed="false">
      <c r="A14" s="4" t="s">
        <v>259</v>
      </c>
      <c r="B14" s="4" t="s">
        <v>248</v>
      </c>
      <c r="C14" s="4" t="n">
        <v>1</v>
      </c>
      <c r="D14" s="4" t="s">
        <v>260</v>
      </c>
      <c r="E14" s="4" t="s">
        <v>237</v>
      </c>
    </row>
    <row r="15" customFormat="false" ht="15" hidden="false" customHeight="false" outlineLevel="0" collapsed="false">
      <c r="A15" s="4" t="s">
        <v>261</v>
      </c>
      <c r="B15" s="4" t="s">
        <v>262</v>
      </c>
      <c r="C15" s="4" t="n">
        <v>2</v>
      </c>
      <c r="D15" s="4" t="s">
        <v>263</v>
      </c>
      <c r="E15" s="4" t="s">
        <v>237</v>
      </c>
    </row>
    <row r="16" customFormat="false" ht="15" hidden="false" customHeight="false" outlineLevel="0" collapsed="false">
      <c r="B16" s="10" t="s">
        <v>264</v>
      </c>
      <c r="C16" s="10" t="n">
        <f aca="false">SUM(C4:C15)</f>
        <v>18</v>
      </c>
    </row>
    <row r="17" customFormat="false" ht="15" hidden="false" customHeight="false" outlineLevel="0" collapsed="false">
      <c r="B17" s="10" t="s">
        <v>265</v>
      </c>
      <c r="C17" s="10" t="n">
        <f aca="false">SUMPRODUCT((LEFT(A4:A15,1)="R")*C4:C15)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266</v>
      </c>
    </row>
    <row r="3" customFormat="false" ht="23.85" hidden="false" customHeight="false" outlineLevel="0" collapsed="false">
      <c r="A3" s="13" t="s">
        <v>267</v>
      </c>
      <c r="B3" s="4" t="s">
        <v>268</v>
      </c>
    </row>
    <row r="4" customFormat="false" ht="23.85" hidden="false" customHeight="false" outlineLevel="0" collapsed="false">
      <c r="A4" s="13" t="s">
        <v>269</v>
      </c>
      <c r="B4" s="4" t="s">
        <v>270</v>
      </c>
    </row>
    <row r="5" customFormat="false" ht="23.85" hidden="false" customHeight="false" outlineLevel="0" collapsed="false">
      <c r="A5" s="13" t="s">
        <v>271</v>
      </c>
      <c r="B5" s="4" t="s">
        <v>272</v>
      </c>
    </row>
    <row r="6" customFormat="false" ht="23.85" hidden="false" customHeight="false" outlineLevel="0" collapsed="false">
      <c r="A6" s="13" t="s">
        <v>273</v>
      </c>
      <c r="B6" s="4" t="s">
        <v>274</v>
      </c>
    </row>
    <row r="7" customFormat="false" ht="15" hidden="false" customHeight="false" outlineLevel="0" collapsed="false">
      <c r="A7" s="13" t="s">
        <v>275</v>
      </c>
      <c r="B7" s="4" t="s">
        <v>276</v>
      </c>
    </row>
    <row r="8" customFormat="false" ht="15" hidden="false" customHeight="false" outlineLevel="0" collapsed="false">
      <c r="A8" s="13" t="s">
        <v>277</v>
      </c>
      <c r="B8" s="4" t="s">
        <v>278</v>
      </c>
    </row>
    <row r="9" customFormat="false" ht="23.85" hidden="false" customHeight="false" outlineLevel="0" collapsed="false">
      <c r="A9" s="13" t="s">
        <v>279</v>
      </c>
      <c r="B9" s="4" t="s">
        <v>280</v>
      </c>
    </row>
    <row r="10" customFormat="false" ht="35.05" hidden="false" customHeight="false" outlineLevel="0" collapsed="false">
      <c r="A10" s="13" t="s">
        <v>281</v>
      </c>
      <c r="B10" s="4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2026-10-17T20:17:03Z</dcterms:created>
  <dc:creator>openpyxl</dc:creator>
  <dc:description/>
  <dc:language>en-US</dc:language>
  <cp:lastModifiedBy/>
  <dcterms:modified xsi:type="dcterms:W3CDTF">2026-10-17T20:17:03Z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